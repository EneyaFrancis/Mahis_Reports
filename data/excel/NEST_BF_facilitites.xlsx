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biniamteshome/Downloads/"/>
    </mc:Choice>
  </mc:AlternateContent>
  <xr:revisionPtr revIDLastSave="0" documentId="8_{8A15E67A-FC26-9144-8435-BF52D1E9209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NEST360_BF Facilities" sheetId="1" r:id="rId1"/>
    <sheet name="KUHeS Trainee Intake Schedule" sheetId="13" state="hidden" r:id="rId2"/>
    <sheet name="Prof Ass Intake Schedule" sheetId="15" state="hidden" r:id="rId3"/>
  </sheets>
  <definedNames>
    <definedName name="Exchange">#REF!</definedName>
  </definedNames>
  <calcPr calcId="191029" iterateCount="10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5" l="1"/>
  <c r="C31" i="15"/>
  <c r="C30" i="15"/>
  <c r="C27" i="15"/>
  <c r="C22" i="15" s="1"/>
  <c r="E26" i="15"/>
  <c r="G25" i="15"/>
  <c r="F25" i="15"/>
  <c r="E25" i="15"/>
  <c r="D25" i="15"/>
  <c r="D27" i="15" s="1"/>
  <c r="H20" i="15"/>
  <c r="G20" i="15"/>
  <c r="F20" i="15"/>
  <c r="D20" i="15"/>
  <c r="C20" i="15"/>
  <c r="E19" i="15"/>
  <c r="E20" i="15" s="1"/>
  <c r="D18" i="15"/>
  <c r="F15" i="15"/>
  <c r="E15" i="15"/>
  <c r="D15" i="15"/>
  <c r="C15" i="15"/>
  <c r="E14" i="15"/>
  <c r="F14" i="15" s="1"/>
  <c r="G14" i="15" s="1"/>
  <c r="H14" i="15" s="1"/>
  <c r="G13" i="15"/>
  <c r="F13" i="15"/>
  <c r="E13" i="15"/>
  <c r="D13" i="15"/>
  <c r="C9" i="15"/>
  <c r="H7" i="15"/>
  <c r="G7" i="15"/>
  <c r="F7" i="15"/>
  <c r="E7" i="15"/>
  <c r="D7" i="15"/>
  <c r="C7" i="15"/>
  <c r="C2" i="15" s="1"/>
  <c r="C98" i="13"/>
  <c r="C97" i="13"/>
  <c r="C96" i="13"/>
  <c r="C95" i="13"/>
  <c r="H92" i="13"/>
  <c r="G92" i="13"/>
  <c r="F92" i="13"/>
  <c r="E92" i="13"/>
  <c r="D92" i="13"/>
  <c r="C92" i="13"/>
  <c r="C78" i="13" s="1"/>
  <c r="H85" i="13"/>
  <c r="G85" i="13"/>
  <c r="F85" i="13"/>
  <c r="E85" i="13"/>
  <c r="D85" i="13"/>
  <c r="C85" i="13"/>
  <c r="H76" i="13"/>
  <c r="G76" i="13"/>
  <c r="F76" i="13"/>
  <c r="E76" i="13"/>
  <c r="D76" i="13"/>
  <c r="C76" i="13"/>
  <c r="C69" i="13"/>
  <c r="H67" i="13"/>
  <c r="G67" i="13"/>
  <c r="F67" i="13"/>
  <c r="E67" i="13"/>
  <c r="D67" i="13"/>
  <c r="C67" i="13"/>
  <c r="H61" i="13"/>
  <c r="G61" i="13"/>
  <c r="F61" i="13"/>
  <c r="E61" i="13"/>
  <c r="D61" i="13"/>
  <c r="C61" i="13"/>
  <c r="C53" i="13" s="1"/>
  <c r="H51" i="13"/>
  <c r="G51" i="13"/>
  <c r="F51" i="13"/>
  <c r="E51" i="13"/>
  <c r="D51" i="13"/>
  <c r="C51" i="13"/>
  <c r="C34" i="13" s="1"/>
  <c r="H45" i="13"/>
  <c r="G45" i="13"/>
  <c r="F45" i="13"/>
  <c r="E45" i="13"/>
  <c r="D45" i="13"/>
  <c r="C45" i="13"/>
  <c r="H39" i="13"/>
  <c r="G39" i="13"/>
  <c r="F39" i="13"/>
  <c r="E39" i="13"/>
  <c r="D39" i="13"/>
  <c r="C39" i="13"/>
  <c r="H32" i="13"/>
  <c r="G32" i="13"/>
  <c r="F32" i="13"/>
  <c r="E32" i="13"/>
  <c r="D32" i="13"/>
  <c r="C32" i="13"/>
  <c r="H26" i="13"/>
  <c r="G26" i="13"/>
  <c r="F26" i="13"/>
  <c r="E26" i="13"/>
  <c r="D26" i="13"/>
  <c r="C26" i="13"/>
  <c r="H20" i="13"/>
  <c r="G20" i="13"/>
  <c r="F20" i="13"/>
  <c r="E20" i="13"/>
  <c r="D20" i="13"/>
  <c r="C20" i="13"/>
  <c r="GK12" i="1"/>
  <c r="GJ12" i="1"/>
  <c r="GI12" i="1"/>
  <c r="GH12" i="1"/>
  <c r="GG12" i="1"/>
  <c r="GF12" i="1"/>
  <c r="GE12" i="1"/>
  <c r="GD12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FQ12" i="1"/>
  <c r="FP12" i="1"/>
  <c r="FO12" i="1"/>
  <c r="FN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GK11" i="1"/>
  <c r="GJ11" i="1"/>
  <c r="GI11" i="1"/>
  <c r="GH11" i="1"/>
  <c r="GG11" i="1"/>
  <c r="GF11" i="1"/>
  <c r="GE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FM10" i="1"/>
  <c r="FL10" i="1"/>
  <c r="FK10" i="1"/>
  <c r="FJ10" i="1"/>
  <c r="FI10" i="1"/>
  <c r="FH10" i="1"/>
  <c r="FG10" i="1"/>
  <c r="FF10" i="1"/>
  <c r="FE10" i="1"/>
  <c r="FD10" i="1"/>
  <c r="FC10" i="1"/>
  <c r="FM9" i="1"/>
  <c r="FL9" i="1"/>
  <c r="FK9" i="1"/>
  <c r="FJ9" i="1"/>
  <c r="FI9" i="1"/>
  <c r="FH9" i="1"/>
  <c r="FG9" i="1"/>
  <c r="FF9" i="1"/>
  <c r="FE9" i="1"/>
  <c r="FD9" i="1"/>
  <c r="FC9" i="1"/>
  <c r="FM8" i="1"/>
  <c r="FL8" i="1"/>
  <c r="FK8" i="1"/>
  <c r="FJ8" i="1"/>
  <c r="FI8" i="1"/>
  <c r="FH8" i="1"/>
  <c r="FG8" i="1"/>
  <c r="FF8" i="1"/>
  <c r="FE8" i="1"/>
  <c r="FD8" i="1"/>
  <c r="FC8" i="1"/>
  <c r="FM7" i="1"/>
  <c r="FL7" i="1"/>
  <c r="FK7" i="1"/>
  <c r="FJ7" i="1"/>
  <c r="FI7" i="1"/>
  <c r="FH7" i="1"/>
  <c r="FG7" i="1"/>
  <c r="FF7" i="1"/>
  <c r="FE7" i="1"/>
  <c r="FD7" i="1"/>
  <c r="FC7" i="1"/>
  <c r="FM6" i="1"/>
  <c r="FL6" i="1"/>
  <c r="FK6" i="1"/>
  <c r="FJ6" i="1"/>
  <c r="FI6" i="1"/>
  <c r="FH6" i="1"/>
  <c r="FG6" i="1"/>
  <c r="FF6" i="1"/>
  <c r="FE6" i="1"/>
  <c r="FD6" i="1"/>
  <c r="FC6" i="1"/>
  <c r="FM5" i="1"/>
  <c r="FL5" i="1"/>
  <c r="FK5" i="1"/>
  <c r="FJ5" i="1"/>
  <c r="FI5" i="1"/>
  <c r="FH5" i="1"/>
  <c r="FG5" i="1"/>
  <c r="FF5" i="1"/>
  <c r="FE5" i="1"/>
  <c r="FD5" i="1"/>
  <c r="FC5" i="1"/>
  <c r="FM4" i="1"/>
  <c r="FL4" i="1"/>
  <c r="FK4" i="1"/>
  <c r="FJ4" i="1"/>
  <c r="FI4" i="1"/>
  <c r="FH4" i="1"/>
  <c r="FG4" i="1"/>
  <c r="FF4" i="1"/>
  <c r="FE4" i="1"/>
  <c r="FD4" i="1"/>
  <c r="FC4" i="1"/>
  <c r="FM3" i="1"/>
  <c r="FL3" i="1"/>
  <c r="FK3" i="1"/>
  <c r="FJ3" i="1"/>
  <c r="FI3" i="1"/>
  <c r="FH3" i="1"/>
  <c r="FG3" i="1"/>
  <c r="FF3" i="1"/>
  <c r="FE3" i="1"/>
  <c r="FD3" i="1"/>
  <c r="FC3" i="1"/>
  <c r="FH11" i="1" l="1"/>
  <c r="FL12" i="1"/>
  <c r="FD12" i="1"/>
  <c r="FC11" i="1"/>
  <c r="FK11" i="1"/>
  <c r="FG12" i="1"/>
  <c r="FK12" i="1"/>
  <c r="FI12" i="1"/>
  <c r="FC12" i="1"/>
  <c r="FI11" i="1"/>
  <c r="FF12" i="1"/>
  <c r="FF11" i="1"/>
  <c r="FJ11" i="1"/>
  <c r="FJ12" i="1"/>
  <c r="FD11" i="1"/>
  <c r="FL11" i="1"/>
  <c r="FE11" i="1"/>
  <c r="FM11" i="1"/>
  <c r="FG11" i="1"/>
  <c r="FH12" i="1"/>
  <c r="FE12" i="1"/>
  <c r="FM12" i="1"/>
  <c r="C99" i="13"/>
  <c r="G15" i="15"/>
  <c r="H15" i="15"/>
  <c r="E27" i="15"/>
  <c r="F26" i="15"/>
  <c r="F27" i="15" l="1"/>
  <c r="G26" i="15"/>
  <c r="H26" i="15" l="1"/>
  <c r="G27" i="15"/>
  <c r="H27" i="15" l="1"/>
</calcChain>
</file>

<file path=xl/sharedStrings.xml><?xml version="1.0" encoding="utf-8"?>
<sst xmlns="http://schemas.openxmlformats.org/spreadsheetml/2006/main" count="753" uniqueCount="82">
  <si>
    <t>in_facid</t>
  </si>
  <si>
    <t>Facility</t>
  </si>
  <si>
    <t>May 2024 - April 2025</t>
  </si>
  <si>
    <t>N/A</t>
  </si>
  <si>
    <t>Agust 2025</t>
  </si>
  <si>
    <t>Year 1 facility performance average</t>
  </si>
  <si>
    <t>baseline_average_monthly_admission</t>
  </si>
  <si>
    <t>baseline_sepsis_rate</t>
  </si>
  <si>
    <t>baseline_jaund_rate</t>
  </si>
  <si>
    <t>baseline_RDS_rate</t>
  </si>
  <si>
    <t>baseline_KMC_rate</t>
  </si>
  <si>
    <t>baseline_CPAP_1499_rate</t>
  </si>
  <si>
    <t>baseline_CPAP_1999_rate</t>
  </si>
  <si>
    <t>baseline_bili_rate</t>
  </si>
  <si>
    <t>baseline_photo_rate</t>
  </si>
  <si>
    <t>baseline_antibiotics_rate</t>
  </si>
  <si>
    <t>baseline_hypo_on_adm</t>
  </si>
  <si>
    <t>baseline_hyp_dur_stay</t>
  </si>
  <si>
    <t>Admissions</t>
  </si>
  <si>
    <t xml:space="preserve">Sepsis </t>
  </si>
  <si>
    <t>Jaundice</t>
  </si>
  <si>
    <t>RDS</t>
  </si>
  <si>
    <t>KMC</t>
  </si>
  <si>
    <t>Prophy CPAP</t>
  </si>
  <si>
    <t>Sympt CPAP</t>
  </si>
  <si>
    <t>Bilirubin Measurement</t>
  </si>
  <si>
    <t>Phototherapty</t>
  </si>
  <si>
    <t>Antibiotics</t>
  </si>
  <si>
    <t>Hypo on Admin</t>
  </si>
  <si>
    <t>Hypo during Stay</t>
  </si>
  <si>
    <t>Sepsis</t>
  </si>
  <si>
    <t>CPAP</t>
  </si>
  <si>
    <t>Bilirubin</t>
  </si>
  <si>
    <t>Phototherapy</t>
  </si>
  <si>
    <t>Admin Hypo</t>
  </si>
  <si>
    <t>Hypo during stay</t>
  </si>
  <si>
    <t>Bwaila District Hospital</t>
  </si>
  <si>
    <t>Embangweni Hospital</t>
  </si>
  <si>
    <t>Nkhoma Mission Hospital</t>
  </si>
  <si>
    <t>Kamuzu Central Hospital</t>
  </si>
  <si>
    <t>Queen Elizabeth Central Hospital</t>
  </si>
  <si>
    <t>Mzimba District Hospital</t>
  </si>
  <si>
    <t>Mzuzu Central Hospital</t>
  </si>
  <si>
    <t>Average for all facilities</t>
  </si>
  <si>
    <t>Average for 7 BF Facilities</t>
  </si>
  <si>
    <t>1kg-1.99kg</t>
  </si>
  <si>
    <t>OBS/GYN Fellow (ESCACOG)</t>
  </si>
  <si>
    <t>General  Anesthesia Fellow (CANESCA)</t>
  </si>
  <si>
    <t>Obstetric Anesthesia Fellow (CANESCA/External Rotation)</t>
  </si>
  <si>
    <t>Pediatric Fellow - ECSAPACH</t>
  </si>
  <si>
    <t>MMED - Direct (Malawi)</t>
  </si>
  <si>
    <t>Total Cadre #</t>
  </si>
  <si>
    <t xml:space="preserve">Year 1 </t>
  </si>
  <si>
    <t>Year 2</t>
  </si>
  <si>
    <t>Year 3</t>
  </si>
  <si>
    <t>Year 4</t>
  </si>
  <si>
    <t>Year 5</t>
  </si>
  <si>
    <t>Cohort 2025 - direct</t>
  </si>
  <si>
    <t>Cohort 2026 - direct</t>
  </si>
  <si>
    <t xml:space="preserve">Total </t>
  </si>
  <si>
    <t>BSc Clinical Officer - PACH</t>
  </si>
  <si>
    <t xml:space="preserve">Cohort 2025 </t>
  </si>
  <si>
    <t xml:space="preserve">Cohort 2026 </t>
  </si>
  <si>
    <t>BSc Clinical Officer - Neonates</t>
  </si>
  <si>
    <t>Cohort 2025</t>
  </si>
  <si>
    <t>Cohort 2026</t>
  </si>
  <si>
    <t>Cohort 2027</t>
  </si>
  <si>
    <t>Anesthesia - Scholarship Cohorts</t>
  </si>
  <si>
    <t>MMED  Anesthesiology</t>
  </si>
  <si>
    <t xml:space="preserve">External - Rotation for Existing Anesthetists (1 year external rotation) </t>
  </si>
  <si>
    <t>BSc CO Anesthesia</t>
  </si>
  <si>
    <t>Neonatal Nurse cohorts</t>
  </si>
  <si>
    <t>BSc Neonatal Nurses</t>
  </si>
  <si>
    <t>Cohort 2028</t>
  </si>
  <si>
    <t>Midwifery Scholarship Cohorts</t>
  </si>
  <si>
    <t xml:space="preserve">Pediatric Critical Care Nursing </t>
  </si>
  <si>
    <t>Cohort 2024 (not Beginnings Fund)</t>
  </si>
  <si>
    <t xml:space="preserve">Overall Intake Provided for by Budget </t>
  </si>
  <si>
    <t>ECSACOG- Scholarship Cohorts</t>
  </si>
  <si>
    <t>CANESCA- Scholarship Cohorts</t>
  </si>
  <si>
    <t>ECSAPACH - Scholarship Cohorts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</si>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</sst>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0\%"/>
  </numFmts>
  <fonts count="14">
    <font>
      <sz val="11"/>
      <color theme="1"/>
      <name val="Aptos Narrow"/>
      <scheme val="minor"/>
    </font>
    <font>
      <sz val="11"/>
      <color theme="1"/>
      <name val="Aptos Narrow"/>
    </font>
    <font>
      <sz val="11"/>
      <name val="Aptos Narrow"/>
    </font>
    <font>
      <b/>
      <sz val="11"/>
      <color theme="1"/>
      <name val="Aptos Narrow"/>
    </font>
    <font>
      <i/>
      <sz val="11"/>
      <color theme="1"/>
      <name val="Aptos Narrow"/>
    </font>
    <font>
      <sz val="11"/>
      <color theme="1"/>
      <name val="Arial"/>
      <family val="2"/>
    </font>
    <font>
      <sz val="11"/>
      <color theme="1"/>
      <name val="Aptos Narrow"/>
      <scheme val="minor"/>
    </font>
    <font>
      <b/>
      <sz val="11"/>
      <color theme="1"/>
      <name val="Arial"/>
      <family val="2"/>
    </font>
    <font>
      <sz val="10"/>
      <color theme="1"/>
      <name val="Aptos Narrow"/>
    </font>
    <font>
      <b/>
      <sz val="10"/>
      <color theme="1"/>
      <name val="Aptos Narrow"/>
    </font>
    <font>
      <sz val="11"/>
      <color theme="1"/>
      <name val="Arial"/>
      <family val="2"/>
    </font>
    <font>
      <b/>
      <sz val="11"/>
      <color theme="1"/>
      <name val="Aptos Narrow"/>
      <scheme val="minor"/>
    </font>
    <font>
      <sz val="11"/>
      <color rgb="FF000000"/>
      <name val="&quot;Liberation Sans&quot;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2" borderId="1" xfId="0" applyFont="1" applyFill="1" applyBorder="1"/>
    <xf numFmtId="0" fontId="1" fillId="0" borderId="0" xfId="0" applyFont="1" applyAlignment="1">
      <alignment horizontal="right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6" fillId="0" borderId="0" xfId="0" applyFont="1"/>
    <xf numFmtId="0" fontId="3" fillId="0" borderId="0" xfId="0" applyFont="1"/>
    <xf numFmtId="0" fontId="7" fillId="4" borderId="12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1" fillId="0" borderId="7" xfId="0" applyFont="1" applyBorder="1"/>
    <xf numFmtId="166" fontId="1" fillId="0" borderId="0" xfId="0" applyNumberFormat="1" applyFont="1"/>
    <xf numFmtId="0" fontId="1" fillId="0" borderId="0" xfId="0" applyFont="1" applyAlignment="1">
      <alignment wrapText="1"/>
    </xf>
    <xf numFmtId="0" fontId="1" fillId="0" borderId="1" xfId="0" applyFont="1" applyBorder="1"/>
    <xf numFmtId="0" fontId="1" fillId="0" borderId="13" xfId="0" applyFont="1" applyBorder="1"/>
    <xf numFmtId="166" fontId="1" fillId="0" borderId="1" xfId="0" applyNumberFormat="1" applyFont="1" applyBorder="1"/>
    <xf numFmtId="166" fontId="1" fillId="0" borderId="1" xfId="0" applyNumberFormat="1" applyFont="1" applyBorder="1" applyAlignment="1">
      <alignment vertical="center"/>
    </xf>
    <xf numFmtId="0" fontId="1" fillId="0" borderId="0" xfId="0" applyFont="1"/>
    <xf numFmtId="0" fontId="1" fillId="0" borderId="11" xfId="0" applyFont="1" applyBorder="1"/>
    <xf numFmtId="0" fontId="1" fillId="3" borderId="1" xfId="0" applyFont="1" applyFill="1" applyBorder="1"/>
    <xf numFmtId="0" fontId="8" fillId="0" borderId="0" xfId="0" applyFont="1"/>
    <xf numFmtId="0" fontId="1" fillId="0" borderId="9" xfId="0" applyFont="1" applyBorder="1"/>
    <xf numFmtId="0" fontId="9" fillId="0" borderId="0" xfId="0" applyFont="1"/>
    <xf numFmtId="0" fontId="10" fillId="0" borderId="0" xfId="0" applyFont="1"/>
    <xf numFmtId="1" fontId="1" fillId="0" borderId="7" xfId="0" applyNumberFormat="1" applyFont="1" applyBorder="1"/>
    <xf numFmtId="166" fontId="1" fillId="0" borderId="7" xfId="0" applyNumberFormat="1" applyFont="1" applyBorder="1"/>
    <xf numFmtId="0" fontId="1" fillId="4" borderId="0" xfId="0" applyFont="1" applyFill="1"/>
    <xf numFmtId="17" fontId="3" fillId="0" borderId="0" xfId="0" applyNumberFormat="1" applyFont="1"/>
    <xf numFmtId="0" fontId="11" fillId="0" borderId="0" xfId="0" applyFont="1"/>
    <xf numFmtId="0" fontId="3" fillId="0" borderId="7" xfId="0" applyFont="1" applyBorder="1"/>
    <xf numFmtId="0" fontId="3" fillId="4" borderId="0" xfId="0" applyFont="1" applyFill="1"/>
    <xf numFmtId="0" fontId="4" fillId="0" borderId="0" xfId="0" applyFont="1" applyAlignment="1">
      <alignment horizontal="right"/>
    </xf>
    <xf numFmtId="0" fontId="1" fillId="0" borderId="10" xfId="0" applyFont="1" applyBorder="1"/>
    <xf numFmtId="0" fontId="12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5" fillId="0" borderId="7" xfId="0" applyFont="1" applyBorder="1"/>
    <xf numFmtId="0" fontId="1" fillId="0" borderId="6" xfId="0" applyFont="1" applyBorder="1"/>
    <xf numFmtId="0" fontId="3" fillId="0" borderId="6" xfId="0" applyFont="1" applyBorder="1"/>
    <xf numFmtId="0" fontId="1" fillId="2" borderId="1" xfId="0" applyFont="1" applyFill="1" applyBorder="1"/>
    <xf numFmtId="0" fontId="1" fillId="0" borderId="7" xfId="0" applyFont="1" applyBorder="1" applyAlignment="1">
      <alignment wrapText="1"/>
    </xf>
    <xf numFmtId="0" fontId="8" fillId="2" borderId="1" xfId="0" applyFont="1" applyFill="1" applyBorder="1"/>
    <xf numFmtId="0" fontId="9" fillId="0" borderId="6" xfId="0" applyFont="1" applyBorder="1"/>
    <xf numFmtId="0" fontId="8" fillId="0" borderId="0" xfId="0" applyFont="1" applyAlignment="1">
      <alignment horizontal="right"/>
    </xf>
    <xf numFmtId="0" fontId="8" fillId="0" borderId="9" xfId="0" applyFont="1" applyBorder="1"/>
    <xf numFmtId="0" fontId="8" fillId="0" borderId="10" xfId="0" applyFont="1" applyBorder="1"/>
    <xf numFmtId="0" fontId="9" fillId="0" borderId="6" xfId="0" applyFont="1" applyBorder="1" applyAlignment="1">
      <alignment horizontal="right"/>
    </xf>
    <xf numFmtId="0" fontId="8" fillId="0" borderId="6" xfId="0" applyFont="1" applyBorder="1"/>
    <xf numFmtId="0" fontId="3" fillId="0" borderId="0" xfId="0" applyFont="1" applyAlignment="1">
      <alignment wrapText="1"/>
    </xf>
    <xf numFmtId="1" fontId="1" fillId="0" borderId="0" xfId="0" applyNumberFormat="1" applyFont="1"/>
    <xf numFmtId="1" fontId="9" fillId="2" borderId="1" xfId="0" applyNumberFormat="1" applyFont="1" applyFill="1" applyBorder="1"/>
    <xf numFmtId="1" fontId="8" fillId="0" borderId="0" xfId="0" applyNumberFormat="1" applyFont="1"/>
    <xf numFmtId="1" fontId="9" fillId="0" borderId="0" xfId="0" applyNumberFormat="1" applyFont="1"/>
    <xf numFmtId="1" fontId="8" fillId="0" borderId="9" xfId="0" applyNumberFormat="1" applyFont="1" applyBorder="1"/>
    <xf numFmtId="1" fontId="8" fillId="0" borderId="10" xfId="0" applyNumberFormat="1" applyFont="1" applyBorder="1"/>
    <xf numFmtId="1" fontId="9" fillId="0" borderId="6" xfId="0" applyNumberFormat="1" applyFont="1" applyBorder="1"/>
    <xf numFmtId="1" fontId="8" fillId="0" borderId="6" xfId="0" applyNumberFormat="1" applyFont="1" applyBorder="1"/>
    <xf numFmtId="1" fontId="8" fillId="0" borderId="11" xfId="0" applyNumberFormat="1" applyFont="1" applyBorder="1"/>
    <xf numFmtId="1" fontId="1" fillId="0" borderId="14" xfId="0" applyNumberFormat="1" applyFont="1" applyBorder="1"/>
    <xf numFmtId="0" fontId="3" fillId="0" borderId="0" xfId="0" applyFont="1" applyAlignment="1">
      <alignment horizontal="center"/>
    </xf>
    <xf numFmtId="0" fontId="0" fillId="0" borderId="0" xfId="0"/>
    <xf numFmtId="0" fontId="2" fillId="0" borderId="8" xfId="0" applyFont="1" applyBorder="1"/>
    <xf numFmtId="17" fontId="3" fillId="0" borderId="3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3" fillId="0" borderId="3" xfId="0" applyFont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1" fillId="5" borderId="1" xfId="0" applyFont="1" applyFill="1" applyBorder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NEST360 Facilities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G2:N9">
  <tableColumns count="8">
    <tableColumn id="1" xr3:uid="{00000000-0010-0000-0000-000001000000}" name="baseline_KMC_rate"/>
    <tableColumn id="2" xr3:uid="{00000000-0010-0000-0000-000002000000}" name="baseline_CPAP_1499_rate"/>
    <tableColumn id="3" xr3:uid="{00000000-0010-0000-0000-000003000000}" name="baseline_CPAP_1999_rate"/>
    <tableColumn id="4" xr3:uid="{00000000-0010-0000-0000-000004000000}" name="baseline_bili_rate"/>
    <tableColumn id="5" xr3:uid="{00000000-0010-0000-0000-000005000000}" name="baseline_photo_rate"/>
    <tableColumn id="6" xr3:uid="{00000000-0010-0000-0000-000006000000}" name="baseline_antibiotics_rate"/>
    <tableColumn id="7" xr3:uid="{00000000-0010-0000-0000-000007000000}" name="baseline_hypo_on_adm"/>
    <tableColumn id="8" xr3:uid="{00000000-0010-0000-0000-000008000000}" name="baseline_hyp_dur_stay"/>
  </tableColumns>
  <tableStyleInfo name="NEST360 Faciliti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K118"/>
  <sheetViews>
    <sheetView tabSelected="1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E90" sqref="E90"/>
    </sheetView>
  </sheetViews>
  <sheetFormatPr baseColWidth="10" defaultColWidth="12.6640625" defaultRowHeight="15" customHeight="1"/>
  <cols>
    <col min="1" max="1" width="8.6640625" customWidth="1"/>
    <col min="2" max="2" width="19.1640625" customWidth="1"/>
    <col min="3" max="3" width="11.83203125" customWidth="1"/>
    <col min="4" max="4" width="10.33203125" customWidth="1"/>
    <col min="5" max="5" width="13.1640625" customWidth="1"/>
    <col min="6" max="6" width="10.1640625" customWidth="1"/>
    <col min="7" max="7" width="14" customWidth="1"/>
    <col min="8" max="8" width="16.1640625" customWidth="1"/>
    <col min="9" max="9" width="17.6640625" customWidth="1"/>
    <col min="10" max="10" width="13.6640625" customWidth="1"/>
    <col min="11" max="11" width="14.1640625" customWidth="1"/>
    <col min="12" max="12" width="12.6640625" customWidth="1"/>
    <col min="13" max="13" width="13.5" customWidth="1"/>
    <col min="14" max="14" width="12.33203125" customWidth="1"/>
    <col min="15" max="15" width="9.33203125" customWidth="1"/>
    <col min="16" max="16" width="7.83203125" customWidth="1"/>
    <col min="17" max="17" width="8.1640625" customWidth="1"/>
    <col min="18" max="20" width="8.6640625" customWidth="1"/>
    <col min="21" max="21" width="6.1640625" customWidth="1"/>
    <col min="22" max="22" width="6.5" customWidth="1"/>
    <col min="23" max="175" width="8.6640625" customWidth="1"/>
    <col min="176" max="176" width="9" customWidth="1"/>
    <col min="177" max="193" width="8.6640625" customWidth="1"/>
  </cols>
  <sheetData>
    <row r="1" spans="1:193" ht="39" customHeight="1">
      <c r="A1" s="3" t="s">
        <v>0</v>
      </c>
      <c r="B1" s="3" t="s">
        <v>1</v>
      </c>
      <c r="C1" s="65" t="s">
        <v>2</v>
      </c>
      <c r="D1" s="66"/>
      <c r="E1" s="66"/>
      <c r="F1" s="66"/>
      <c r="G1" s="66"/>
      <c r="H1" s="66"/>
      <c r="I1" s="66"/>
      <c r="J1" s="66"/>
      <c r="K1" s="66"/>
      <c r="L1" s="66"/>
      <c r="M1" s="66"/>
      <c r="N1" s="67"/>
      <c r="O1" s="68">
        <v>45778</v>
      </c>
      <c r="P1" s="69"/>
      <c r="Q1" s="69"/>
      <c r="R1" s="69"/>
      <c r="S1" s="69"/>
      <c r="T1" s="69"/>
      <c r="U1" s="69"/>
      <c r="V1" s="69"/>
      <c r="W1" s="69"/>
      <c r="X1" s="69"/>
      <c r="Y1" s="69"/>
      <c r="Z1" s="70"/>
      <c r="AA1" s="68">
        <v>45809</v>
      </c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70"/>
      <c r="AM1" s="68">
        <v>45839</v>
      </c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70"/>
      <c r="AY1" s="71" t="s">
        <v>4</v>
      </c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70"/>
      <c r="BK1" s="68">
        <v>45901</v>
      </c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70"/>
      <c r="BW1" s="68">
        <v>45931</v>
      </c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70"/>
      <c r="CI1" s="68">
        <v>45962</v>
      </c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70"/>
      <c r="CU1" s="68">
        <v>45992</v>
      </c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70"/>
      <c r="DG1" s="68">
        <v>46023</v>
      </c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70"/>
      <c r="DS1" s="68">
        <v>46054</v>
      </c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70"/>
      <c r="EE1" s="68">
        <v>46082</v>
      </c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70"/>
      <c r="EQ1" s="68">
        <v>46113</v>
      </c>
      <c r="ER1" s="69"/>
      <c r="ES1" s="69"/>
      <c r="ET1" s="69"/>
      <c r="EU1" s="69"/>
      <c r="EV1" s="69"/>
      <c r="EW1" s="69"/>
      <c r="EX1" s="69"/>
      <c r="EY1" s="69"/>
      <c r="EZ1" s="69"/>
      <c r="FA1" s="69"/>
      <c r="FB1" s="70"/>
      <c r="FC1" s="72" t="s">
        <v>5</v>
      </c>
      <c r="FD1" s="69"/>
      <c r="FE1" s="69"/>
      <c r="FF1" s="69"/>
      <c r="FG1" s="69"/>
      <c r="FH1" s="69"/>
      <c r="FI1" s="69"/>
      <c r="FJ1" s="69"/>
      <c r="FK1" s="69"/>
      <c r="FL1" s="69"/>
      <c r="FM1" s="70"/>
      <c r="FN1" s="68">
        <v>46143</v>
      </c>
      <c r="FO1" s="69"/>
      <c r="FP1" s="69"/>
      <c r="FQ1" s="69"/>
      <c r="FR1" s="69"/>
      <c r="FS1" s="69"/>
      <c r="FT1" s="69"/>
      <c r="FU1" s="69"/>
      <c r="FV1" s="69"/>
      <c r="FW1" s="69"/>
      <c r="FX1" s="69"/>
      <c r="FY1" s="70"/>
      <c r="FZ1" s="68">
        <v>46174</v>
      </c>
      <c r="GA1" s="69"/>
      <c r="GB1" s="69"/>
      <c r="GC1" s="69"/>
      <c r="GD1" s="69"/>
      <c r="GE1" s="69"/>
      <c r="GF1" s="69"/>
      <c r="GG1" s="69"/>
      <c r="GH1" s="69"/>
      <c r="GI1" s="69"/>
      <c r="GJ1" s="69"/>
      <c r="GK1" s="70"/>
    </row>
    <row r="2" spans="1:193" ht="37.5" customHeight="1">
      <c r="A2" s="7"/>
      <c r="B2" s="6"/>
      <c r="C2" s="8" t="s">
        <v>6</v>
      </c>
      <c r="D2" s="8" t="s">
        <v>7</v>
      </c>
      <c r="E2" s="8" t="s">
        <v>8</v>
      </c>
      <c r="F2" s="8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7" t="s">
        <v>18</v>
      </c>
      <c r="P2" s="7" t="s">
        <v>19</v>
      </c>
      <c r="Q2" s="7" t="s">
        <v>20</v>
      </c>
      <c r="R2" s="7" t="s">
        <v>21</v>
      </c>
      <c r="S2" s="7" t="s">
        <v>22</v>
      </c>
      <c r="T2" s="7" t="s">
        <v>23</v>
      </c>
      <c r="U2" s="7" t="s">
        <v>24</v>
      </c>
      <c r="V2" s="7" t="s">
        <v>25</v>
      </c>
      <c r="W2" s="7" t="s">
        <v>26</v>
      </c>
      <c r="X2" s="7" t="s">
        <v>27</v>
      </c>
      <c r="Y2" s="7" t="s">
        <v>28</v>
      </c>
      <c r="Z2" s="6" t="s">
        <v>29</v>
      </c>
      <c r="AA2" s="9" t="s">
        <v>18</v>
      </c>
      <c r="AB2" s="9" t="s">
        <v>19</v>
      </c>
      <c r="AC2" s="9" t="s">
        <v>20</v>
      </c>
      <c r="AD2" s="9" t="s">
        <v>21</v>
      </c>
      <c r="AE2" s="9" t="s">
        <v>22</v>
      </c>
      <c r="AF2" s="9" t="s">
        <v>23</v>
      </c>
      <c r="AG2" s="9" t="s">
        <v>24</v>
      </c>
      <c r="AH2" s="9" t="s">
        <v>25</v>
      </c>
      <c r="AI2" s="9" t="s">
        <v>26</v>
      </c>
      <c r="AJ2" s="9" t="s">
        <v>27</v>
      </c>
      <c r="AK2" s="9" t="s">
        <v>28</v>
      </c>
      <c r="AL2" s="10" t="s">
        <v>29</v>
      </c>
      <c r="AM2" s="9" t="s">
        <v>18</v>
      </c>
      <c r="AN2" s="9" t="s">
        <v>19</v>
      </c>
      <c r="AO2" s="9" t="s">
        <v>20</v>
      </c>
      <c r="AP2" s="9" t="s">
        <v>21</v>
      </c>
      <c r="AQ2" s="9" t="s">
        <v>22</v>
      </c>
      <c r="AR2" s="9" t="s">
        <v>23</v>
      </c>
      <c r="AS2" s="9" t="s">
        <v>24</v>
      </c>
      <c r="AT2" s="9" t="s">
        <v>25</v>
      </c>
      <c r="AU2" s="9" t="s">
        <v>26</v>
      </c>
      <c r="AV2" s="9" t="s">
        <v>27</v>
      </c>
      <c r="AW2" s="9" t="s">
        <v>28</v>
      </c>
      <c r="AX2" s="10" t="s">
        <v>29</v>
      </c>
      <c r="AY2" s="9" t="s">
        <v>18</v>
      </c>
      <c r="AZ2" s="9" t="s">
        <v>19</v>
      </c>
      <c r="BA2" s="9" t="s">
        <v>20</v>
      </c>
      <c r="BB2" s="9" t="s">
        <v>21</v>
      </c>
      <c r="BC2" s="9" t="s">
        <v>22</v>
      </c>
      <c r="BD2" s="9" t="s">
        <v>23</v>
      </c>
      <c r="BE2" s="9" t="s">
        <v>24</v>
      </c>
      <c r="BF2" s="9" t="s">
        <v>25</v>
      </c>
      <c r="BG2" s="9" t="s">
        <v>26</v>
      </c>
      <c r="BH2" s="9" t="s">
        <v>27</v>
      </c>
      <c r="BI2" s="9" t="s">
        <v>28</v>
      </c>
      <c r="BJ2" s="10" t="s">
        <v>29</v>
      </c>
      <c r="BK2" s="11" t="s">
        <v>18</v>
      </c>
      <c r="BL2" s="3" t="s">
        <v>19</v>
      </c>
      <c r="BM2" s="3" t="s">
        <v>20</v>
      </c>
      <c r="BN2" s="3" t="s">
        <v>21</v>
      </c>
      <c r="BO2" s="3" t="s">
        <v>22</v>
      </c>
      <c r="BP2" s="3" t="s">
        <v>23</v>
      </c>
      <c r="BQ2" s="3" t="s">
        <v>24</v>
      </c>
      <c r="BR2" s="3" t="s">
        <v>25</v>
      </c>
      <c r="BS2" s="3" t="s">
        <v>26</v>
      </c>
      <c r="BT2" s="3" t="s">
        <v>27</v>
      </c>
      <c r="BU2" s="3" t="s">
        <v>28</v>
      </c>
      <c r="BV2" s="3" t="s">
        <v>29</v>
      </c>
      <c r="BW2" s="9" t="s">
        <v>18</v>
      </c>
      <c r="BX2" s="9" t="s">
        <v>19</v>
      </c>
      <c r="BY2" s="9" t="s">
        <v>20</v>
      </c>
      <c r="BZ2" s="9" t="s">
        <v>21</v>
      </c>
      <c r="CA2" s="9" t="s">
        <v>22</v>
      </c>
      <c r="CB2" s="9" t="s">
        <v>23</v>
      </c>
      <c r="CC2" s="9" t="s">
        <v>24</v>
      </c>
      <c r="CD2" s="9" t="s">
        <v>25</v>
      </c>
      <c r="CE2" s="9" t="s">
        <v>26</v>
      </c>
      <c r="CF2" s="9" t="s">
        <v>27</v>
      </c>
      <c r="CG2" s="9" t="s">
        <v>28</v>
      </c>
      <c r="CH2" s="10" t="s">
        <v>29</v>
      </c>
      <c r="CI2" s="9" t="s">
        <v>18</v>
      </c>
      <c r="CJ2" s="9" t="s">
        <v>19</v>
      </c>
      <c r="CK2" s="9" t="s">
        <v>20</v>
      </c>
      <c r="CL2" s="9" t="s">
        <v>21</v>
      </c>
      <c r="CM2" s="9" t="s">
        <v>22</v>
      </c>
      <c r="CN2" s="9" t="s">
        <v>23</v>
      </c>
      <c r="CO2" s="9" t="s">
        <v>24</v>
      </c>
      <c r="CP2" s="9" t="s">
        <v>25</v>
      </c>
      <c r="CQ2" s="9" t="s">
        <v>26</v>
      </c>
      <c r="CR2" s="9" t="s">
        <v>27</v>
      </c>
      <c r="CS2" s="9" t="s">
        <v>28</v>
      </c>
      <c r="CT2" s="10" t="s">
        <v>29</v>
      </c>
      <c r="CU2" s="9" t="s">
        <v>18</v>
      </c>
      <c r="CV2" s="9" t="s">
        <v>19</v>
      </c>
      <c r="CW2" s="9" t="s">
        <v>20</v>
      </c>
      <c r="CX2" s="9" t="s">
        <v>21</v>
      </c>
      <c r="CY2" s="9" t="s">
        <v>22</v>
      </c>
      <c r="CZ2" s="9" t="s">
        <v>23</v>
      </c>
      <c r="DA2" s="9" t="s">
        <v>24</v>
      </c>
      <c r="DB2" s="9" t="s">
        <v>25</v>
      </c>
      <c r="DC2" s="9" t="s">
        <v>26</v>
      </c>
      <c r="DD2" s="9" t="s">
        <v>27</v>
      </c>
      <c r="DE2" s="9" t="s">
        <v>28</v>
      </c>
      <c r="DF2" s="10" t="s">
        <v>29</v>
      </c>
      <c r="DG2" s="9" t="s">
        <v>18</v>
      </c>
      <c r="DH2" s="9" t="s">
        <v>19</v>
      </c>
      <c r="DI2" s="9" t="s">
        <v>20</v>
      </c>
      <c r="DJ2" s="9" t="s">
        <v>21</v>
      </c>
      <c r="DK2" s="9" t="s">
        <v>22</v>
      </c>
      <c r="DL2" s="9" t="s">
        <v>23</v>
      </c>
      <c r="DM2" s="9" t="s">
        <v>24</v>
      </c>
      <c r="DN2" s="9" t="s">
        <v>25</v>
      </c>
      <c r="DO2" s="9" t="s">
        <v>26</v>
      </c>
      <c r="DP2" s="9" t="s">
        <v>27</v>
      </c>
      <c r="DQ2" s="9" t="s">
        <v>28</v>
      </c>
      <c r="DR2" s="10" t="s">
        <v>29</v>
      </c>
      <c r="DS2" s="9" t="s">
        <v>18</v>
      </c>
      <c r="DT2" s="9" t="s">
        <v>19</v>
      </c>
      <c r="DU2" s="9" t="s">
        <v>20</v>
      </c>
      <c r="DV2" s="9" t="s">
        <v>21</v>
      </c>
      <c r="DW2" s="9" t="s">
        <v>22</v>
      </c>
      <c r="DX2" s="9" t="s">
        <v>23</v>
      </c>
      <c r="DY2" s="9" t="s">
        <v>24</v>
      </c>
      <c r="DZ2" s="9" t="s">
        <v>25</v>
      </c>
      <c r="EA2" s="9" t="s">
        <v>26</v>
      </c>
      <c r="EB2" s="9" t="s">
        <v>27</v>
      </c>
      <c r="EC2" s="9" t="s">
        <v>28</v>
      </c>
      <c r="ED2" s="10" t="s">
        <v>29</v>
      </c>
      <c r="EE2" s="9" t="s">
        <v>18</v>
      </c>
      <c r="EF2" s="9" t="s">
        <v>19</v>
      </c>
      <c r="EG2" s="9" t="s">
        <v>20</v>
      </c>
      <c r="EH2" s="9" t="s">
        <v>21</v>
      </c>
      <c r="EI2" s="9" t="s">
        <v>22</v>
      </c>
      <c r="EJ2" s="9" t="s">
        <v>23</v>
      </c>
      <c r="EK2" s="9" t="s">
        <v>24</v>
      </c>
      <c r="EL2" s="9" t="s">
        <v>25</v>
      </c>
      <c r="EM2" s="9" t="s">
        <v>26</v>
      </c>
      <c r="EN2" s="9" t="s">
        <v>27</v>
      </c>
      <c r="EO2" s="9" t="s">
        <v>28</v>
      </c>
      <c r="EP2" s="10" t="s">
        <v>29</v>
      </c>
      <c r="EQ2" s="9" t="s">
        <v>18</v>
      </c>
      <c r="ER2" s="9" t="s">
        <v>19</v>
      </c>
      <c r="ES2" s="9" t="s">
        <v>20</v>
      </c>
      <c r="ET2" s="9" t="s">
        <v>21</v>
      </c>
      <c r="EU2" s="9" t="s">
        <v>22</v>
      </c>
      <c r="EV2" s="9" t="s">
        <v>23</v>
      </c>
      <c r="EW2" s="9" t="s">
        <v>24</v>
      </c>
      <c r="EX2" s="9" t="s">
        <v>25</v>
      </c>
      <c r="EY2" s="9" t="s">
        <v>26</v>
      </c>
      <c r="EZ2" s="9" t="s">
        <v>27</v>
      </c>
      <c r="FA2" s="9" t="s">
        <v>28</v>
      </c>
      <c r="FB2" s="10" t="s">
        <v>29</v>
      </c>
      <c r="FC2" s="14" t="s">
        <v>30</v>
      </c>
      <c r="FD2" s="14" t="s">
        <v>20</v>
      </c>
      <c r="FE2" s="14" t="s">
        <v>21</v>
      </c>
      <c r="FF2" s="15" t="s">
        <v>22</v>
      </c>
      <c r="FG2" s="15" t="s">
        <v>23</v>
      </c>
      <c r="FH2" s="15" t="s">
        <v>31</v>
      </c>
      <c r="FI2" s="15" t="s">
        <v>32</v>
      </c>
      <c r="FJ2" s="15" t="s">
        <v>33</v>
      </c>
      <c r="FK2" s="15" t="s">
        <v>27</v>
      </c>
      <c r="FL2" s="15" t="s">
        <v>34</v>
      </c>
      <c r="FM2" s="15" t="s">
        <v>35</v>
      </c>
      <c r="FN2" s="9" t="s">
        <v>18</v>
      </c>
      <c r="FO2" s="9" t="s">
        <v>19</v>
      </c>
      <c r="FP2" s="9" t="s">
        <v>20</v>
      </c>
      <c r="FQ2" s="9" t="s">
        <v>21</v>
      </c>
      <c r="FR2" s="9" t="s">
        <v>22</v>
      </c>
      <c r="FS2" s="9" t="s">
        <v>23</v>
      </c>
      <c r="FT2" s="9" t="s">
        <v>24</v>
      </c>
      <c r="FU2" s="9" t="s">
        <v>25</v>
      </c>
      <c r="FV2" s="9" t="s">
        <v>26</v>
      </c>
      <c r="FW2" s="9" t="s">
        <v>27</v>
      </c>
      <c r="FX2" s="9" t="s">
        <v>28</v>
      </c>
      <c r="FY2" s="10" t="s">
        <v>29</v>
      </c>
      <c r="FZ2" s="9" t="s">
        <v>18</v>
      </c>
      <c r="GA2" s="9" t="s">
        <v>19</v>
      </c>
      <c r="GB2" s="9" t="s">
        <v>20</v>
      </c>
      <c r="GC2" s="9" t="s">
        <v>21</v>
      </c>
      <c r="GD2" s="9" t="s">
        <v>22</v>
      </c>
      <c r="GE2" s="9" t="s">
        <v>23</v>
      </c>
      <c r="GF2" s="9" t="s">
        <v>24</v>
      </c>
      <c r="GG2" s="9" t="s">
        <v>25</v>
      </c>
      <c r="GH2" s="9" t="s">
        <v>26</v>
      </c>
      <c r="GI2" s="9" t="s">
        <v>27</v>
      </c>
      <c r="GJ2" s="9" t="s">
        <v>28</v>
      </c>
      <c r="GK2" s="16" t="s">
        <v>29</v>
      </c>
    </row>
    <row r="3" spans="1:193" ht="14.25" customHeight="1">
      <c r="A3" s="20">
        <v>102</v>
      </c>
      <c r="B3" s="73" t="s">
        <v>36</v>
      </c>
      <c r="C3" s="21">
        <v>573</v>
      </c>
      <c r="D3" s="22">
        <v>16</v>
      </c>
      <c r="E3" s="22">
        <v>16</v>
      </c>
      <c r="F3" s="22">
        <v>51</v>
      </c>
      <c r="G3" s="23">
        <v>63</v>
      </c>
      <c r="H3" s="23">
        <v>49</v>
      </c>
      <c r="I3" s="23">
        <v>38</v>
      </c>
      <c r="J3" s="23">
        <v>1</v>
      </c>
      <c r="K3" s="23">
        <v>93</v>
      </c>
      <c r="L3" s="23">
        <v>93</v>
      </c>
      <c r="M3" s="23">
        <v>38</v>
      </c>
      <c r="N3" s="23">
        <v>18</v>
      </c>
      <c r="O3" s="21">
        <v>461</v>
      </c>
      <c r="P3" s="22">
        <v>16</v>
      </c>
      <c r="Q3" s="22">
        <v>18</v>
      </c>
      <c r="R3" s="22">
        <v>53</v>
      </c>
      <c r="S3" s="22">
        <v>77</v>
      </c>
      <c r="T3" s="22">
        <v>68</v>
      </c>
      <c r="U3" s="22">
        <v>25</v>
      </c>
      <c r="V3" s="22">
        <v>0</v>
      </c>
      <c r="W3" s="22">
        <v>95</v>
      </c>
      <c r="X3" s="22">
        <v>92</v>
      </c>
      <c r="Y3" s="22">
        <v>35</v>
      </c>
      <c r="Z3" s="22">
        <v>22</v>
      </c>
      <c r="AA3" s="21">
        <v>473</v>
      </c>
      <c r="AB3" s="22">
        <v>13</v>
      </c>
      <c r="AC3" s="22">
        <v>21</v>
      </c>
      <c r="AD3" s="22">
        <v>45</v>
      </c>
      <c r="AE3" s="22">
        <v>88</v>
      </c>
      <c r="AF3" s="22">
        <v>50</v>
      </c>
      <c r="AG3" s="22">
        <v>40</v>
      </c>
      <c r="AH3" s="22">
        <v>0</v>
      </c>
      <c r="AI3" s="22">
        <v>92</v>
      </c>
      <c r="AJ3" s="22">
        <v>90</v>
      </c>
      <c r="AK3" s="22">
        <v>36</v>
      </c>
      <c r="AL3" s="22">
        <v>21</v>
      </c>
      <c r="AM3" s="21">
        <v>478</v>
      </c>
      <c r="AN3" s="22">
        <v>17</v>
      </c>
      <c r="AO3" s="22">
        <v>24</v>
      </c>
      <c r="AP3" s="22">
        <v>46</v>
      </c>
      <c r="AQ3" s="22">
        <v>83</v>
      </c>
      <c r="AR3" s="22">
        <v>41</v>
      </c>
      <c r="AS3" s="22">
        <v>40</v>
      </c>
      <c r="AT3" s="22">
        <v>0</v>
      </c>
      <c r="AU3" s="22">
        <v>95</v>
      </c>
      <c r="AV3" s="22">
        <v>95</v>
      </c>
      <c r="AW3" s="22">
        <v>29</v>
      </c>
      <c r="AX3" s="22">
        <v>17</v>
      </c>
      <c r="AY3" s="21">
        <v>445</v>
      </c>
      <c r="AZ3" s="22">
        <v>14</v>
      </c>
      <c r="BA3" s="22">
        <v>17</v>
      </c>
      <c r="BB3" s="22">
        <v>47</v>
      </c>
      <c r="BC3" s="22">
        <v>70</v>
      </c>
      <c r="BD3" s="22">
        <v>76</v>
      </c>
      <c r="BE3" s="22">
        <v>75</v>
      </c>
      <c r="BF3" s="22">
        <v>0</v>
      </c>
      <c r="BG3" s="22">
        <v>99</v>
      </c>
      <c r="BH3" s="22">
        <v>98</v>
      </c>
      <c r="BI3" s="22">
        <v>36</v>
      </c>
      <c r="BJ3" s="22">
        <v>27</v>
      </c>
      <c r="BK3" s="21">
        <v>510</v>
      </c>
      <c r="BL3" s="22">
        <v>19</v>
      </c>
      <c r="BM3" s="22">
        <v>25</v>
      </c>
      <c r="BN3" s="22">
        <v>46</v>
      </c>
      <c r="BO3" s="22">
        <v>83</v>
      </c>
      <c r="BP3" s="22">
        <v>71</v>
      </c>
      <c r="BQ3" s="22">
        <v>44</v>
      </c>
      <c r="BR3" s="22">
        <v>0</v>
      </c>
      <c r="BS3" s="22">
        <v>99</v>
      </c>
      <c r="BT3" s="22">
        <v>89</v>
      </c>
      <c r="BU3" s="22">
        <v>43</v>
      </c>
      <c r="BV3" s="22">
        <v>18</v>
      </c>
      <c r="BW3" s="21">
        <v>513</v>
      </c>
      <c r="BX3" s="22">
        <v>22</v>
      </c>
      <c r="BY3" s="22">
        <v>23</v>
      </c>
      <c r="BZ3" s="22">
        <v>50</v>
      </c>
      <c r="CA3" s="22">
        <v>73</v>
      </c>
      <c r="CB3" s="22">
        <v>61</v>
      </c>
      <c r="CC3" s="22">
        <v>71</v>
      </c>
      <c r="CD3" s="22">
        <v>0</v>
      </c>
      <c r="CE3" s="22">
        <v>95</v>
      </c>
      <c r="CF3" s="22">
        <v>89</v>
      </c>
      <c r="CG3" s="22">
        <v>57</v>
      </c>
      <c r="CH3" s="22">
        <v>26</v>
      </c>
      <c r="CI3" s="21">
        <v>532</v>
      </c>
      <c r="CJ3" s="22">
        <v>24</v>
      </c>
      <c r="CK3" s="22">
        <v>26</v>
      </c>
      <c r="CL3" s="22">
        <v>46</v>
      </c>
      <c r="CM3" s="22">
        <v>64</v>
      </c>
      <c r="CN3" s="22">
        <v>69</v>
      </c>
      <c r="CO3" s="22">
        <v>56</v>
      </c>
      <c r="CP3" s="22">
        <v>0</v>
      </c>
      <c r="CQ3" s="22">
        <v>100</v>
      </c>
      <c r="CR3" s="22">
        <v>95</v>
      </c>
      <c r="CS3" s="22">
        <v>58</v>
      </c>
      <c r="CT3" s="22">
        <v>32</v>
      </c>
      <c r="CU3" s="21">
        <v>682</v>
      </c>
      <c r="CV3" s="22">
        <v>18</v>
      </c>
      <c r="CW3" s="22">
        <v>32</v>
      </c>
      <c r="CX3" s="22">
        <v>41</v>
      </c>
      <c r="CY3" s="22">
        <v>71</v>
      </c>
      <c r="CZ3" s="22">
        <v>65</v>
      </c>
      <c r="DA3" s="22">
        <v>25</v>
      </c>
      <c r="DB3" s="22">
        <v>0</v>
      </c>
      <c r="DC3" s="22">
        <v>93</v>
      </c>
      <c r="DD3" s="22">
        <v>91</v>
      </c>
      <c r="DE3" s="22">
        <v>51</v>
      </c>
      <c r="DF3" s="22">
        <v>25</v>
      </c>
      <c r="DG3" s="21">
        <v>670</v>
      </c>
      <c r="DH3" s="22">
        <v>24</v>
      </c>
      <c r="DI3" s="22">
        <v>27</v>
      </c>
      <c r="DJ3" s="22">
        <v>44</v>
      </c>
      <c r="DK3" s="22">
        <v>73</v>
      </c>
      <c r="DL3" s="22">
        <v>80</v>
      </c>
      <c r="DM3" s="22">
        <v>50</v>
      </c>
      <c r="DN3" s="22">
        <v>0</v>
      </c>
      <c r="DO3" s="22">
        <v>96</v>
      </c>
      <c r="DP3" s="22">
        <v>94</v>
      </c>
      <c r="DQ3" s="22">
        <v>50</v>
      </c>
      <c r="DR3" s="22">
        <v>21</v>
      </c>
      <c r="DS3" s="21">
        <v>533</v>
      </c>
      <c r="DT3" s="22">
        <v>26</v>
      </c>
      <c r="DU3" s="22">
        <v>31</v>
      </c>
      <c r="DV3" s="22">
        <v>48</v>
      </c>
      <c r="DW3" s="22">
        <v>81</v>
      </c>
      <c r="DX3" s="22">
        <v>65</v>
      </c>
      <c r="DY3" s="22">
        <v>80</v>
      </c>
      <c r="DZ3" s="22">
        <v>1</v>
      </c>
      <c r="EA3" s="22">
        <v>99</v>
      </c>
      <c r="EB3" s="22">
        <v>94</v>
      </c>
      <c r="EC3" s="22">
        <v>51</v>
      </c>
      <c r="ED3" s="22">
        <v>17</v>
      </c>
      <c r="EE3" s="21">
        <v>505</v>
      </c>
      <c r="EF3" s="22">
        <v>24</v>
      </c>
      <c r="EG3" s="22">
        <v>21</v>
      </c>
      <c r="EH3" s="22">
        <v>47</v>
      </c>
      <c r="EI3" s="22">
        <v>72</v>
      </c>
      <c r="EJ3" s="22">
        <v>43</v>
      </c>
      <c r="EK3" s="22">
        <v>67</v>
      </c>
      <c r="EL3" s="22">
        <v>0</v>
      </c>
      <c r="EM3" s="22">
        <v>98</v>
      </c>
      <c r="EN3" s="22">
        <v>95</v>
      </c>
      <c r="EO3" s="22">
        <v>51</v>
      </c>
      <c r="EP3" s="22">
        <v>23</v>
      </c>
      <c r="EQ3" s="21">
        <v>135</v>
      </c>
      <c r="ER3" s="22">
        <v>13</v>
      </c>
      <c r="ES3" s="22">
        <v>7</v>
      </c>
      <c r="ET3" s="22">
        <v>41</v>
      </c>
      <c r="EU3" s="22">
        <v>94</v>
      </c>
      <c r="EV3" s="22">
        <v>50</v>
      </c>
      <c r="EW3" s="22">
        <v>0</v>
      </c>
      <c r="EX3" s="22">
        <v>0</v>
      </c>
      <c r="EY3" s="22">
        <v>86</v>
      </c>
      <c r="EZ3" s="22">
        <v>82</v>
      </c>
      <c r="FA3" s="22">
        <v>39</v>
      </c>
      <c r="FB3" s="22">
        <v>21</v>
      </c>
      <c r="FC3" s="18">
        <f t="shared" ref="FC3:FM3" si="0">AVERAGE(P3,AB3,AN3,AZ3,BL3,BX3,CJ3,CV3,DH3,DT3,EF3,ER3)</f>
        <v>19.166666666666668</v>
      </c>
      <c r="FD3" s="18">
        <f t="shared" si="0"/>
        <v>22.666666666666668</v>
      </c>
      <c r="FE3" s="18">
        <f t="shared" si="0"/>
        <v>46.166666666666664</v>
      </c>
      <c r="FF3" s="18">
        <f t="shared" si="0"/>
        <v>77.416666666666671</v>
      </c>
      <c r="FG3" s="18">
        <f t="shared" si="0"/>
        <v>61.583333333333336</v>
      </c>
      <c r="FH3" s="18">
        <f t="shared" si="0"/>
        <v>47.75</v>
      </c>
      <c r="FI3" s="18">
        <f t="shared" si="0"/>
        <v>8.3333333333333329E-2</v>
      </c>
      <c r="FJ3" s="18">
        <f t="shared" si="0"/>
        <v>95.583333333333329</v>
      </c>
      <c r="FK3" s="18">
        <f t="shared" si="0"/>
        <v>92</v>
      </c>
      <c r="FL3" s="18">
        <f t="shared" si="0"/>
        <v>44.666666666666664</v>
      </c>
      <c r="FM3" s="18">
        <f t="shared" si="0"/>
        <v>22.5</v>
      </c>
      <c r="FN3" s="21">
        <v>4</v>
      </c>
      <c r="FO3" s="22">
        <v>0</v>
      </c>
      <c r="FP3" s="22">
        <v>0</v>
      </c>
      <c r="FQ3" s="22">
        <v>50</v>
      </c>
      <c r="FR3" s="22">
        <v>0</v>
      </c>
      <c r="FS3" s="22"/>
      <c r="FT3" s="22"/>
      <c r="FU3" s="22"/>
      <c r="FV3" s="22"/>
      <c r="FW3" s="22"/>
      <c r="FX3" s="22">
        <v>100</v>
      </c>
      <c r="FY3" s="22">
        <v>33</v>
      </c>
      <c r="FZ3" s="21">
        <v>6</v>
      </c>
      <c r="GA3" s="22">
        <v>0</v>
      </c>
      <c r="GB3" s="22">
        <v>0</v>
      </c>
      <c r="GC3" s="22">
        <v>0</v>
      </c>
      <c r="GD3" s="22">
        <v>67</v>
      </c>
      <c r="GE3" s="22">
        <v>0</v>
      </c>
      <c r="GF3" s="22"/>
      <c r="GG3" s="22"/>
      <c r="GH3" s="22"/>
      <c r="GI3" s="22"/>
      <c r="GJ3" s="22">
        <v>0</v>
      </c>
      <c r="GK3" s="22">
        <v>20</v>
      </c>
    </row>
    <row r="4" spans="1:193" ht="14.25" customHeight="1">
      <c r="A4" s="20">
        <v>108</v>
      </c>
      <c r="B4" s="73" t="s">
        <v>37</v>
      </c>
      <c r="C4" s="21">
        <v>28</v>
      </c>
      <c r="D4" s="22">
        <v>14</v>
      </c>
      <c r="E4" s="22">
        <v>3</v>
      </c>
      <c r="F4" s="22">
        <v>60</v>
      </c>
      <c r="G4" s="23">
        <v>76</v>
      </c>
      <c r="H4" s="23">
        <v>93</v>
      </c>
      <c r="I4" s="23">
        <v>50</v>
      </c>
      <c r="J4" s="23">
        <v>88</v>
      </c>
      <c r="K4" s="23">
        <v>100</v>
      </c>
      <c r="L4" s="23">
        <v>88</v>
      </c>
      <c r="M4" s="23">
        <v>47</v>
      </c>
      <c r="N4" s="23">
        <v>67</v>
      </c>
      <c r="O4" s="21">
        <v>21</v>
      </c>
      <c r="P4" s="22">
        <v>0</v>
      </c>
      <c r="Q4" s="22">
        <v>0</v>
      </c>
      <c r="R4" s="22">
        <v>38</v>
      </c>
      <c r="S4" s="22">
        <v>100</v>
      </c>
      <c r="T4" s="22">
        <v>100</v>
      </c>
      <c r="U4" s="22"/>
      <c r="V4" s="22"/>
      <c r="W4" s="22"/>
      <c r="X4" s="22"/>
      <c r="Y4" s="22">
        <v>10</v>
      </c>
      <c r="Z4" s="22">
        <v>81</v>
      </c>
      <c r="AA4" s="21">
        <v>37</v>
      </c>
      <c r="AB4" s="22">
        <v>11</v>
      </c>
      <c r="AC4" s="22">
        <v>3</v>
      </c>
      <c r="AD4" s="22">
        <v>43</v>
      </c>
      <c r="AE4" s="22">
        <v>100</v>
      </c>
      <c r="AF4" s="22">
        <v>100</v>
      </c>
      <c r="AG4" s="22"/>
      <c r="AH4" s="22">
        <v>100</v>
      </c>
      <c r="AI4" s="22"/>
      <c r="AJ4" s="22">
        <v>75</v>
      </c>
      <c r="AK4" s="22">
        <v>32</v>
      </c>
      <c r="AL4" s="22">
        <v>81</v>
      </c>
      <c r="AM4" s="21">
        <v>31</v>
      </c>
      <c r="AN4" s="22">
        <v>13</v>
      </c>
      <c r="AO4" s="22">
        <v>0</v>
      </c>
      <c r="AP4" s="22">
        <v>65</v>
      </c>
      <c r="AQ4" s="22">
        <v>100</v>
      </c>
      <c r="AR4" s="22"/>
      <c r="AS4" s="22"/>
      <c r="AT4" s="22"/>
      <c r="AU4" s="22"/>
      <c r="AV4" s="22">
        <v>100</v>
      </c>
      <c r="AW4" s="22">
        <v>29</v>
      </c>
      <c r="AX4" s="22">
        <v>90</v>
      </c>
      <c r="AY4" s="21">
        <v>36</v>
      </c>
      <c r="AZ4" s="22">
        <v>0</v>
      </c>
      <c r="BA4" s="22">
        <v>0</v>
      </c>
      <c r="BB4" s="22">
        <v>61</v>
      </c>
      <c r="BC4" s="22">
        <v>89</v>
      </c>
      <c r="BD4" s="22">
        <v>100</v>
      </c>
      <c r="BE4" s="22"/>
      <c r="BF4" s="22"/>
      <c r="BG4" s="22"/>
      <c r="BH4" s="22"/>
      <c r="BI4" s="22">
        <v>31</v>
      </c>
      <c r="BJ4" s="22">
        <v>86</v>
      </c>
      <c r="BK4" s="21">
        <v>34</v>
      </c>
      <c r="BL4" s="22">
        <v>15</v>
      </c>
      <c r="BM4" s="22">
        <v>9</v>
      </c>
      <c r="BN4" s="22">
        <v>62</v>
      </c>
      <c r="BO4" s="22">
        <v>78</v>
      </c>
      <c r="BP4" s="22">
        <v>100</v>
      </c>
      <c r="BQ4" s="22"/>
      <c r="BR4" s="22">
        <v>67</v>
      </c>
      <c r="BS4" s="22">
        <v>100</v>
      </c>
      <c r="BT4" s="22">
        <v>0</v>
      </c>
      <c r="BU4" s="22">
        <v>47</v>
      </c>
      <c r="BV4" s="22">
        <v>82</v>
      </c>
      <c r="BW4" s="21">
        <v>46</v>
      </c>
      <c r="BX4" s="22">
        <v>9</v>
      </c>
      <c r="BY4" s="22">
        <v>7</v>
      </c>
      <c r="BZ4" s="22">
        <v>67</v>
      </c>
      <c r="CA4" s="22">
        <v>86</v>
      </c>
      <c r="CB4" s="22">
        <v>100</v>
      </c>
      <c r="CC4" s="22"/>
      <c r="CD4" s="22">
        <v>100</v>
      </c>
      <c r="CE4" s="22">
        <v>100</v>
      </c>
      <c r="CF4" s="22">
        <v>75</v>
      </c>
      <c r="CG4" s="22">
        <v>57</v>
      </c>
      <c r="CH4" s="22">
        <v>87</v>
      </c>
      <c r="CI4" s="21">
        <v>27</v>
      </c>
      <c r="CJ4" s="22">
        <v>7</v>
      </c>
      <c r="CK4" s="22">
        <v>11</v>
      </c>
      <c r="CL4" s="22">
        <v>56</v>
      </c>
      <c r="CM4" s="22">
        <v>82</v>
      </c>
      <c r="CN4" s="22"/>
      <c r="CO4" s="22">
        <v>100</v>
      </c>
      <c r="CP4" s="22">
        <v>100</v>
      </c>
      <c r="CQ4" s="22">
        <v>100</v>
      </c>
      <c r="CR4" s="22">
        <v>100</v>
      </c>
      <c r="CS4" s="22">
        <v>59</v>
      </c>
      <c r="CT4" s="22">
        <v>85</v>
      </c>
      <c r="CU4" s="21">
        <v>24</v>
      </c>
      <c r="CV4" s="22">
        <v>12</v>
      </c>
      <c r="CW4" s="22">
        <v>4</v>
      </c>
      <c r="CX4" s="22">
        <v>75</v>
      </c>
      <c r="CY4" s="22">
        <v>67</v>
      </c>
      <c r="CZ4" s="22">
        <v>100</v>
      </c>
      <c r="DA4" s="22">
        <v>100</v>
      </c>
      <c r="DB4" s="22">
        <v>100</v>
      </c>
      <c r="DC4" s="22">
        <v>100</v>
      </c>
      <c r="DD4" s="22">
        <v>100</v>
      </c>
      <c r="DE4" s="22">
        <v>38</v>
      </c>
      <c r="DF4" s="22">
        <v>71</v>
      </c>
      <c r="DG4" s="21">
        <v>34</v>
      </c>
      <c r="DH4" s="22">
        <v>18</v>
      </c>
      <c r="DI4" s="22">
        <v>9</v>
      </c>
      <c r="DJ4" s="22">
        <v>65</v>
      </c>
      <c r="DK4" s="22">
        <v>79</v>
      </c>
      <c r="DL4" s="22">
        <v>100</v>
      </c>
      <c r="DM4" s="22">
        <v>0</v>
      </c>
      <c r="DN4" s="22">
        <v>67</v>
      </c>
      <c r="DO4" s="22">
        <v>100</v>
      </c>
      <c r="DP4" s="22">
        <v>67</v>
      </c>
      <c r="DQ4" s="22">
        <v>44</v>
      </c>
      <c r="DR4" s="22">
        <v>79</v>
      </c>
      <c r="DS4" s="21">
        <v>26</v>
      </c>
      <c r="DT4" s="22">
        <v>23</v>
      </c>
      <c r="DU4" s="22">
        <v>0</v>
      </c>
      <c r="DV4" s="22">
        <v>69</v>
      </c>
      <c r="DW4" s="22">
        <v>89</v>
      </c>
      <c r="DX4" s="22">
        <v>100</v>
      </c>
      <c r="DY4" s="22">
        <v>50</v>
      </c>
      <c r="DZ4" s="22"/>
      <c r="EA4" s="22"/>
      <c r="EB4" s="22">
        <v>100</v>
      </c>
      <c r="EC4" s="22">
        <v>31</v>
      </c>
      <c r="ED4" s="22">
        <v>92</v>
      </c>
      <c r="EE4" s="21">
        <v>30</v>
      </c>
      <c r="EF4" s="22">
        <v>3</v>
      </c>
      <c r="EG4" s="22">
        <v>3</v>
      </c>
      <c r="EH4" s="22">
        <v>83</v>
      </c>
      <c r="EI4" s="22">
        <v>75</v>
      </c>
      <c r="EJ4" s="22">
        <v>100</v>
      </c>
      <c r="EK4" s="22"/>
      <c r="EL4" s="22">
        <v>100</v>
      </c>
      <c r="EM4" s="22"/>
      <c r="EN4" s="22">
        <v>100</v>
      </c>
      <c r="EO4" s="22">
        <v>20</v>
      </c>
      <c r="EP4" s="22">
        <v>60</v>
      </c>
      <c r="EQ4" s="21">
        <v>27</v>
      </c>
      <c r="ER4" s="22">
        <v>22</v>
      </c>
      <c r="ES4" s="22">
        <v>7</v>
      </c>
      <c r="ET4" s="22">
        <v>85</v>
      </c>
      <c r="EU4" s="22">
        <v>100</v>
      </c>
      <c r="EV4" s="22">
        <v>100</v>
      </c>
      <c r="EW4" s="22">
        <v>100</v>
      </c>
      <c r="EX4" s="22">
        <v>100</v>
      </c>
      <c r="EY4" s="22">
        <v>100</v>
      </c>
      <c r="EZ4" s="22">
        <v>83</v>
      </c>
      <c r="FA4" s="22">
        <v>35</v>
      </c>
      <c r="FB4" s="22">
        <v>93</v>
      </c>
      <c r="FC4" s="18">
        <f t="shared" ref="FC4:FM4" si="1">AVERAGE(P4,AB4,AN4,AZ4,BL4,BX4,CJ4,CV4,DH4,DT4,EF4,ER4)</f>
        <v>11.083333333333334</v>
      </c>
      <c r="FD4" s="18">
        <f t="shared" si="1"/>
        <v>4.416666666666667</v>
      </c>
      <c r="FE4" s="18">
        <f t="shared" si="1"/>
        <v>64.083333333333329</v>
      </c>
      <c r="FF4" s="18">
        <f t="shared" si="1"/>
        <v>87.083333333333329</v>
      </c>
      <c r="FG4" s="18">
        <f t="shared" si="1"/>
        <v>100</v>
      </c>
      <c r="FH4" s="18">
        <f t="shared" si="1"/>
        <v>70</v>
      </c>
      <c r="FI4" s="18">
        <f t="shared" si="1"/>
        <v>91.75</v>
      </c>
      <c r="FJ4" s="18">
        <f t="shared" si="1"/>
        <v>100</v>
      </c>
      <c r="FK4" s="18">
        <f t="shared" si="1"/>
        <v>80</v>
      </c>
      <c r="FL4" s="18">
        <f t="shared" si="1"/>
        <v>36.083333333333336</v>
      </c>
      <c r="FM4" s="18">
        <f t="shared" si="1"/>
        <v>82.25</v>
      </c>
      <c r="FN4" s="21">
        <v>41</v>
      </c>
      <c r="FO4" s="22">
        <v>17</v>
      </c>
      <c r="FP4" s="22">
        <v>10</v>
      </c>
      <c r="FQ4" s="22">
        <v>80</v>
      </c>
      <c r="FR4" s="22">
        <v>67</v>
      </c>
      <c r="FS4" s="22">
        <v>75</v>
      </c>
      <c r="FT4" s="22"/>
      <c r="FU4" s="22">
        <v>50</v>
      </c>
      <c r="FV4" s="22">
        <v>100</v>
      </c>
      <c r="FW4" s="22">
        <v>71</v>
      </c>
      <c r="FX4" s="22">
        <v>27</v>
      </c>
      <c r="FY4" s="22">
        <v>90</v>
      </c>
      <c r="FZ4" s="21">
        <v>26</v>
      </c>
      <c r="GA4" s="22">
        <v>8</v>
      </c>
      <c r="GB4" s="22">
        <v>4</v>
      </c>
      <c r="GC4" s="22">
        <v>58</v>
      </c>
      <c r="GD4" s="22">
        <v>56</v>
      </c>
      <c r="GE4" s="22">
        <v>100</v>
      </c>
      <c r="GF4" s="22">
        <v>100</v>
      </c>
      <c r="GG4" s="22">
        <v>0</v>
      </c>
      <c r="GH4" s="22"/>
      <c r="GI4" s="22">
        <v>100</v>
      </c>
      <c r="GJ4" s="22">
        <v>15</v>
      </c>
      <c r="GK4" s="22">
        <v>69</v>
      </c>
    </row>
    <row r="5" spans="1:193" ht="14.25" customHeight="1">
      <c r="A5" s="20">
        <v>110</v>
      </c>
      <c r="B5" s="73" t="s">
        <v>39</v>
      </c>
      <c r="C5" s="21">
        <v>265</v>
      </c>
      <c r="D5" s="22">
        <v>37</v>
      </c>
      <c r="E5" s="22">
        <v>17</v>
      </c>
      <c r="F5" s="22">
        <v>50</v>
      </c>
      <c r="G5" s="23">
        <v>55</v>
      </c>
      <c r="H5" s="23">
        <v>58</v>
      </c>
      <c r="I5" s="23">
        <v>62</v>
      </c>
      <c r="J5" s="23">
        <v>21</v>
      </c>
      <c r="K5" s="23">
        <v>92</v>
      </c>
      <c r="L5" s="23">
        <v>97</v>
      </c>
      <c r="M5" s="23">
        <v>63</v>
      </c>
      <c r="N5" s="23">
        <v>20</v>
      </c>
      <c r="O5" s="21">
        <v>228</v>
      </c>
      <c r="P5" s="22">
        <v>38</v>
      </c>
      <c r="Q5" s="22">
        <v>19</v>
      </c>
      <c r="R5" s="22">
        <v>53</v>
      </c>
      <c r="S5" s="22">
        <v>50</v>
      </c>
      <c r="T5" s="22">
        <v>61</v>
      </c>
      <c r="U5" s="22">
        <v>40</v>
      </c>
      <c r="V5" s="22">
        <v>7</v>
      </c>
      <c r="W5" s="22">
        <v>100</v>
      </c>
      <c r="X5" s="22">
        <v>93</v>
      </c>
      <c r="Y5" s="22">
        <v>59</v>
      </c>
      <c r="Z5" s="22">
        <v>18</v>
      </c>
      <c r="AA5" s="21">
        <v>226</v>
      </c>
      <c r="AB5" s="22">
        <v>38</v>
      </c>
      <c r="AC5" s="22">
        <v>25</v>
      </c>
      <c r="AD5" s="22">
        <v>46</v>
      </c>
      <c r="AE5" s="22">
        <v>66</v>
      </c>
      <c r="AF5" s="22">
        <v>62</v>
      </c>
      <c r="AG5" s="22">
        <v>100</v>
      </c>
      <c r="AH5" s="22">
        <v>7</v>
      </c>
      <c r="AI5" s="22">
        <v>93</v>
      </c>
      <c r="AJ5" s="22">
        <v>98</v>
      </c>
      <c r="AK5" s="22">
        <v>52</v>
      </c>
      <c r="AL5" s="22">
        <v>14</v>
      </c>
      <c r="AM5" s="21">
        <v>221</v>
      </c>
      <c r="AN5" s="22">
        <v>30</v>
      </c>
      <c r="AO5" s="22">
        <v>27</v>
      </c>
      <c r="AP5" s="22">
        <v>58</v>
      </c>
      <c r="AQ5" s="22">
        <v>73</v>
      </c>
      <c r="AR5" s="22">
        <v>78</v>
      </c>
      <c r="AS5" s="22">
        <v>100</v>
      </c>
      <c r="AT5" s="22">
        <v>18</v>
      </c>
      <c r="AU5" s="22">
        <v>98</v>
      </c>
      <c r="AV5" s="22">
        <v>97</v>
      </c>
      <c r="AW5" s="22">
        <v>44</v>
      </c>
      <c r="AX5" s="22">
        <v>10</v>
      </c>
      <c r="AY5" s="21">
        <v>217</v>
      </c>
      <c r="AZ5" s="22">
        <v>31</v>
      </c>
      <c r="BA5" s="22">
        <v>30</v>
      </c>
      <c r="BB5" s="22">
        <v>55</v>
      </c>
      <c r="BC5" s="22">
        <v>65</v>
      </c>
      <c r="BD5" s="22">
        <v>63</v>
      </c>
      <c r="BE5" s="22">
        <v>100</v>
      </c>
      <c r="BF5" s="22">
        <v>17</v>
      </c>
      <c r="BG5" s="22">
        <v>96</v>
      </c>
      <c r="BH5" s="22">
        <v>96</v>
      </c>
      <c r="BI5" s="22">
        <v>51</v>
      </c>
      <c r="BJ5" s="22">
        <v>8</v>
      </c>
      <c r="BK5" s="21">
        <v>200</v>
      </c>
      <c r="BL5" s="22">
        <v>45</v>
      </c>
      <c r="BM5" s="22">
        <v>26</v>
      </c>
      <c r="BN5" s="22">
        <v>47</v>
      </c>
      <c r="BO5" s="22">
        <v>66</v>
      </c>
      <c r="BP5" s="22">
        <v>66</v>
      </c>
      <c r="BQ5" s="22">
        <v>33</v>
      </c>
      <c r="BR5" s="22">
        <v>8</v>
      </c>
      <c r="BS5" s="22">
        <v>98</v>
      </c>
      <c r="BT5" s="22">
        <v>98</v>
      </c>
      <c r="BU5" s="22">
        <v>68</v>
      </c>
      <c r="BV5" s="22">
        <v>21</v>
      </c>
      <c r="BW5" s="21">
        <v>240</v>
      </c>
      <c r="BX5" s="22">
        <v>54</v>
      </c>
      <c r="BY5" s="22">
        <v>29</v>
      </c>
      <c r="BZ5" s="22">
        <v>47</v>
      </c>
      <c r="CA5" s="22">
        <v>53</v>
      </c>
      <c r="CB5" s="22">
        <v>74</v>
      </c>
      <c r="CC5" s="22">
        <v>56</v>
      </c>
      <c r="CD5" s="22">
        <v>4</v>
      </c>
      <c r="CE5" s="22">
        <v>93</v>
      </c>
      <c r="CF5" s="22">
        <v>94</v>
      </c>
      <c r="CG5" s="22">
        <v>71</v>
      </c>
      <c r="CH5" s="22">
        <v>14</v>
      </c>
      <c r="CI5" s="21">
        <v>238</v>
      </c>
      <c r="CJ5" s="22">
        <v>41</v>
      </c>
      <c r="CK5" s="22">
        <v>25</v>
      </c>
      <c r="CL5" s="22">
        <v>48</v>
      </c>
      <c r="CM5" s="22">
        <v>54</v>
      </c>
      <c r="CN5" s="22">
        <v>90</v>
      </c>
      <c r="CO5" s="22">
        <v>100</v>
      </c>
      <c r="CP5" s="22">
        <v>5</v>
      </c>
      <c r="CQ5" s="22">
        <v>96</v>
      </c>
      <c r="CR5" s="22">
        <v>96</v>
      </c>
      <c r="CS5" s="22">
        <v>61</v>
      </c>
      <c r="CT5" s="22">
        <v>15</v>
      </c>
      <c r="CU5" s="21">
        <v>251</v>
      </c>
      <c r="CV5" s="22">
        <v>45</v>
      </c>
      <c r="CW5" s="22">
        <v>27</v>
      </c>
      <c r="CX5" s="22">
        <v>43</v>
      </c>
      <c r="CY5" s="22">
        <v>67</v>
      </c>
      <c r="CZ5" s="22">
        <v>68</v>
      </c>
      <c r="DA5" s="22">
        <v>100</v>
      </c>
      <c r="DB5" s="22">
        <v>6</v>
      </c>
      <c r="DC5" s="22">
        <v>95</v>
      </c>
      <c r="DD5" s="22">
        <v>97</v>
      </c>
      <c r="DE5" s="22">
        <v>78</v>
      </c>
      <c r="DF5" s="22">
        <v>23</v>
      </c>
      <c r="DG5" s="21">
        <v>198</v>
      </c>
      <c r="DH5" s="22">
        <v>48</v>
      </c>
      <c r="DI5" s="22">
        <v>24</v>
      </c>
      <c r="DJ5" s="22">
        <v>43</v>
      </c>
      <c r="DK5" s="22">
        <v>47</v>
      </c>
      <c r="DL5" s="22">
        <v>76</v>
      </c>
      <c r="DM5" s="22">
        <v>67</v>
      </c>
      <c r="DN5" s="22">
        <v>6</v>
      </c>
      <c r="DO5" s="22">
        <v>97</v>
      </c>
      <c r="DP5" s="22">
        <v>96</v>
      </c>
      <c r="DQ5" s="22">
        <v>71</v>
      </c>
      <c r="DR5" s="22">
        <v>26</v>
      </c>
      <c r="DS5" s="21">
        <v>159</v>
      </c>
      <c r="DT5" s="22">
        <v>61</v>
      </c>
      <c r="DU5" s="22">
        <v>35</v>
      </c>
      <c r="DV5" s="22">
        <v>47</v>
      </c>
      <c r="DW5" s="22">
        <v>70</v>
      </c>
      <c r="DX5" s="22">
        <v>89</v>
      </c>
      <c r="DY5" s="22"/>
      <c r="DZ5" s="22">
        <v>0</v>
      </c>
      <c r="EA5" s="22">
        <v>100</v>
      </c>
      <c r="EB5" s="22">
        <v>97</v>
      </c>
      <c r="EC5" s="22">
        <v>80</v>
      </c>
      <c r="ED5" s="22">
        <v>48</v>
      </c>
      <c r="EE5" s="21">
        <v>228</v>
      </c>
      <c r="EF5" s="22">
        <v>68</v>
      </c>
      <c r="EG5" s="22">
        <v>28</v>
      </c>
      <c r="EH5" s="22">
        <v>53</v>
      </c>
      <c r="EI5" s="22">
        <v>34</v>
      </c>
      <c r="EJ5" s="22">
        <v>70</v>
      </c>
      <c r="EK5" s="22">
        <v>50</v>
      </c>
      <c r="EL5" s="22">
        <v>0</v>
      </c>
      <c r="EM5" s="22">
        <v>96</v>
      </c>
      <c r="EN5" s="22">
        <v>92</v>
      </c>
      <c r="EO5" s="22">
        <v>73</v>
      </c>
      <c r="EP5" s="22">
        <v>21</v>
      </c>
      <c r="EQ5" s="21">
        <v>181</v>
      </c>
      <c r="ER5" s="22">
        <v>53</v>
      </c>
      <c r="ES5" s="22">
        <v>18</v>
      </c>
      <c r="ET5" s="22">
        <v>53</v>
      </c>
      <c r="EU5" s="22">
        <v>71</v>
      </c>
      <c r="EV5" s="22">
        <v>65</v>
      </c>
      <c r="EW5" s="22">
        <v>50</v>
      </c>
      <c r="EX5" s="22">
        <v>3</v>
      </c>
      <c r="EY5" s="22">
        <v>100</v>
      </c>
      <c r="EZ5" s="22">
        <v>95</v>
      </c>
      <c r="FA5" s="22">
        <v>68</v>
      </c>
      <c r="FB5" s="22">
        <v>16</v>
      </c>
      <c r="FC5" s="18">
        <f t="shared" ref="FC5:FM5" si="2">AVERAGE(P5,AB5,AN5,AZ5,BL5,BX5,CJ5,CV5,DH5,DT5,EF5,ER5)</f>
        <v>46</v>
      </c>
      <c r="FD5" s="18">
        <f t="shared" si="2"/>
        <v>26.083333333333332</v>
      </c>
      <c r="FE5" s="18">
        <f t="shared" si="2"/>
        <v>49.416666666666664</v>
      </c>
      <c r="FF5" s="18">
        <f t="shared" si="2"/>
        <v>59.666666666666664</v>
      </c>
      <c r="FG5" s="18">
        <f t="shared" si="2"/>
        <v>71.833333333333329</v>
      </c>
      <c r="FH5" s="18">
        <f t="shared" si="2"/>
        <v>72.36363636363636</v>
      </c>
      <c r="FI5" s="18">
        <f t="shared" si="2"/>
        <v>6.75</v>
      </c>
      <c r="FJ5" s="18">
        <f t="shared" si="2"/>
        <v>96.833333333333329</v>
      </c>
      <c r="FK5" s="18">
        <f t="shared" si="2"/>
        <v>95.75</v>
      </c>
      <c r="FL5" s="18">
        <f t="shared" si="2"/>
        <v>64.666666666666671</v>
      </c>
      <c r="FM5" s="18">
        <f t="shared" si="2"/>
        <v>19.5</v>
      </c>
      <c r="FN5" s="21">
        <v>69</v>
      </c>
      <c r="FO5" s="22">
        <v>39</v>
      </c>
      <c r="FP5" s="22">
        <v>17</v>
      </c>
      <c r="FQ5" s="22">
        <v>65</v>
      </c>
      <c r="FR5" s="22">
        <v>79</v>
      </c>
      <c r="FS5" s="22">
        <v>69</v>
      </c>
      <c r="FT5" s="22"/>
      <c r="FU5" s="22">
        <v>17</v>
      </c>
      <c r="FV5" s="22">
        <v>100</v>
      </c>
      <c r="FW5" s="22">
        <v>93</v>
      </c>
      <c r="FX5" s="22">
        <v>64</v>
      </c>
      <c r="FY5" s="22">
        <v>16</v>
      </c>
      <c r="FZ5" s="21">
        <v>2</v>
      </c>
      <c r="GA5" s="22">
        <v>100</v>
      </c>
      <c r="GB5" s="22">
        <v>100</v>
      </c>
      <c r="GC5" s="22">
        <v>0</v>
      </c>
      <c r="GD5" s="22"/>
      <c r="GE5" s="22"/>
      <c r="GF5" s="22"/>
      <c r="GG5" s="22">
        <v>0</v>
      </c>
      <c r="GH5" s="22">
        <v>0</v>
      </c>
      <c r="GI5" s="22">
        <v>100</v>
      </c>
      <c r="GJ5" s="22">
        <v>100</v>
      </c>
      <c r="GK5" s="22">
        <v>0</v>
      </c>
    </row>
    <row r="6" spans="1:193" ht="14.25" customHeight="1">
      <c r="A6" s="20">
        <v>121</v>
      </c>
      <c r="B6" s="73" t="s">
        <v>41</v>
      </c>
      <c r="C6" s="21">
        <v>77</v>
      </c>
      <c r="D6" s="22">
        <v>11</v>
      </c>
      <c r="E6" s="22">
        <v>3</v>
      </c>
      <c r="F6" s="22">
        <v>59</v>
      </c>
      <c r="G6" s="23">
        <v>75</v>
      </c>
      <c r="H6" s="23">
        <v>72</v>
      </c>
      <c r="I6" s="23">
        <v>65</v>
      </c>
      <c r="J6" s="23">
        <v>11</v>
      </c>
      <c r="K6" s="23">
        <v>89</v>
      </c>
      <c r="L6" s="23">
        <v>97</v>
      </c>
      <c r="M6" s="23">
        <v>22</v>
      </c>
      <c r="N6" s="23">
        <v>26</v>
      </c>
      <c r="O6" s="21">
        <v>91</v>
      </c>
      <c r="P6" s="22">
        <v>5</v>
      </c>
      <c r="Q6" s="22">
        <v>8</v>
      </c>
      <c r="R6" s="22">
        <v>49</v>
      </c>
      <c r="S6" s="22">
        <v>85</v>
      </c>
      <c r="T6" s="22">
        <v>86</v>
      </c>
      <c r="U6" s="22">
        <v>100</v>
      </c>
      <c r="V6" s="22">
        <v>14</v>
      </c>
      <c r="W6" s="22">
        <v>100</v>
      </c>
      <c r="X6" s="22">
        <v>100</v>
      </c>
      <c r="Y6" s="22">
        <v>11</v>
      </c>
      <c r="Z6" s="22">
        <v>44</v>
      </c>
      <c r="AA6" s="21">
        <v>92</v>
      </c>
      <c r="AB6" s="22">
        <v>9</v>
      </c>
      <c r="AC6" s="22">
        <v>0</v>
      </c>
      <c r="AD6" s="22">
        <v>47</v>
      </c>
      <c r="AE6" s="22">
        <v>100</v>
      </c>
      <c r="AF6" s="22">
        <v>100</v>
      </c>
      <c r="AG6" s="22">
        <v>75</v>
      </c>
      <c r="AH6" s="22"/>
      <c r="AI6" s="22"/>
      <c r="AJ6" s="22">
        <v>88</v>
      </c>
      <c r="AK6" s="22">
        <v>13</v>
      </c>
      <c r="AL6" s="22">
        <v>20</v>
      </c>
      <c r="AM6" s="21">
        <v>85</v>
      </c>
      <c r="AN6" s="22">
        <v>12</v>
      </c>
      <c r="AO6" s="22">
        <v>0</v>
      </c>
      <c r="AP6" s="22">
        <v>20</v>
      </c>
      <c r="AQ6" s="22">
        <v>96</v>
      </c>
      <c r="AR6" s="22">
        <v>100</v>
      </c>
      <c r="AS6" s="22"/>
      <c r="AT6" s="22"/>
      <c r="AU6" s="22"/>
      <c r="AV6" s="22">
        <v>100</v>
      </c>
      <c r="AW6" s="22">
        <v>50</v>
      </c>
      <c r="AX6" s="22">
        <v>57</v>
      </c>
      <c r="AY6" s="21">
        <v>86</v>
      </c>
      <c r="AZ6" s="22">
        <v>10</v>
      </c>
      <c r="BA6" s="22">
        <v>2</v>
      </c>
      <c r="BB6" s="22">
        <v>21</v>
      </c>
      <c r="BC6" s="22">
        <v>96</v>
      </c>
      <c r="BD6" s="22">
        <v>100</v>
      </c>
      <c r="BE6" s="22">
        <v>100</v>
      </c>
      <c r="BF6" s="22">
        <v>0</v>
      </c>
      <c r="BG6" s="22">
        <v>100</v>
      </c>
      <c r="BH6" s="22">
        <v>100</v>
      </c>
      <c r="BI6" s="22">
        <v>34</v>
      </c>
      <c r="BJ6" s="22">
        <v>78</v>
      </c>
      <c r="BK6" s="21">
        <v>93</v>
      </c>
      <c r="BL6" s="22">
        <v>13</v>
      </c>
      <c r="BM6" s="22">
        <v>6</v>
      </c>
      <c r="BN6" s="22">
        <v>14</v>
      </c>
      <c r="BO6" s="22">
        <v>88</v>
      </c>
      <c r="BP6" s="22">
        <v>83</v>
      </c>
      <c r="BQ6" s="22">
        <v>100</v>
      </c>
      <c r="BR6" s="22">
        <v>0</v>
      </c>
      <c r="BS6" s="22">
        <v>100</v>
      </c>
      <c r="BT6" s="22">
        <v>100</v>
      </c>
      <c r="BU6" s="22">
        <v>48</v>
      </c>
      <c r="BV6" s="22">
        <v>82</v>
      </c>
      <c r="BW6" s="21">
        <v>90</v>
      </c>
      <c r="BX6" s="22">
        <v>12</v>
      </c>
      <c r="BY6" s="22">
        <v>1</v>
      </c>
      <c r="BZ6" s="22">
        <v>18</v>
      </c>
      <c r="CA6" s="22">
        <v>100</v>
      </c>
      <c r="CB6" s="22">
        <v>100</v>
      </c>
      <c r="CC6" s="22"/>
      <c r="CD6" s="22">
        <v>0</v>
      </c>
      <c r="CE6" s="22"/>
      <c r="CF6" s="22">
        <v>100</v>
      </c>
      <c r="CG6" s="22">
        <v>57</v>
      </c>
      <c r="CH6" s="22">
        <v>80</v>
      </c>
      <c r="CI6" s="21">
        <v>110</v>
      </c>
      <c r="CJ6" s="22">
        <v>11</v>
      </c>
      <c r="CK6" s="22">
        <v>5</v>
      </c>
      <c r="CL6" s="22">
        <v>21</v>
      </c>
      <c r="CM6" s="22">
        <v>96</v>
      </c>
      <c r="CN6" s="22">
        <v>100</v>
      </c>
      <c r="CO6" s="22">
        <v>67</v>
      </c>
      <c r="CP6" s="22">
        <v>0</v>
      </c>
      <c r="CQ6" s="22">
        <v>100</v>
      </c>
      <c r="CR6" s="22">
        <v>100</v>
      </c>
      <c r="CS6" s="22">
        <v>55</v>
      </c>
      <c r="CT6" s="22">
        <v>55</v>
      </c>
      <c r="CU6" s="21">
        <v>92</v>
      </c>
      <c r="CV6" s="22">
        <v>11</v>
      </c>
      <c r="CW6" s="22">
        <v>1</v>
      </c>
      <c r="CX6" s="22">
        <v>29</v>
      </c>
      <c r="CY6" s="22">
        <v>100</v>
      </c>
      <c r="CZ6" s="22">
        <v>100</v>
      </c>
      <c r="DA6" s="22">
        <v>100</v>
      </c>
      <c r="DB6" s="22">
        <v>0</v>
      </c>
      <c r="DC6" s="22">
        <v>100</v>
      </c>
      <c r="DD6" s="22">
        <v>100</v>
      </c>
      <c r="DE6" s="22">
        <v>58</v>
      </c>
      <c r="DF6" s="22">
        <v>60</v>
      </c>
      <c r="DG6" s="21">
        <v>76</v>
      </c>
      <c r="DH6" s="22">
        <v>11</v>
      </c>
      <c r="DI6" s="22">
        <v>5</v>
      </c>
      <c r="DJ6" s="22">
        <v>25</v>
      </c>
      <c r="DK6" s="22">
        <v>96</v>
      </c>
      <c r="DL6" s="22">
        <v>100</v>
      </c>
      <c r="DM6" s="22">
        <v>100</v>
      </c>
      <c r="DN6" s="22">
        <v>0</v>
      </c>
      <c r="DO6" s="22">
        <v>100</v>
      </c>
      <c r="DP6" s="22">
        <v>100</v>
      </c>
      <c r="DQ6" s="22">
        <v>45</v>
      </c>
      <c r="DR6" s="22">
        <v>55</v>
      </c>
      <c r="DS6" s="21">
        <v>76</v>
      </c>
      <c r="DT6" s="22">
        <v>20</v>
      </c>
      <c r="DU6" s="22">
        <v>7</v>
      </c>
      <c r="DV6" s="22">
        <v>25</v>
      </c>
      <c r="DW6" s="22">
        <v>100</v>
      </c>
      <c r="DX6" s="22">
        <v>100</v>
      </c>
      <c r="DY6" s="22">
        <v>100</v>
      </c>
      <c r="DZ6" s="22">
        <v>20</v>
      </c>
      <c r="EA6" s="22">
        <v>100</v>
      </c>
      <c r="EB6" s="22">
        <v>93</v>
      </c>
      <c r="EC6" s="22">
        <v>43</v>
      </c>
      <c r="ED6" s="22">
        <v>38</v>
      </c>
      <c r="EE6" s="21">
        <v>100</v>
      </c>
      <c r="EF6" s="22">
        <v>21</v>
      </c>
      <c r="EG6" s="22">
        <v>1</v>
      </c>
      <c r="EH6" s="22">
        <v>34</v>
      </c>
      <c r="EI6" s="22">
        <v>83</v>
      </c>
      <c r="EJ6" s="22">
        <v>78</v>
      </c>
      <c r="EK6" s="22">
        <v>100</v>
      </c>
      <c r="EL6" s="22">
        <v>0</v>
      </c>
      <c r="EM6" s="22">
        <v>100</v>
      </c>
      <c r="EN6" s="22">
        <v>95</v>
      </c>
      <c r="EO6" s="22">
        <v>47</v>
      </c>
      <c r="EP6" s="22">
        <v>47</v>
      </c>
      <c r="EQ6" s="21">
        <v>95</v>
      </c>
      <c r="ER6" s="22">
        <v>15</v>
      </c>
      <c r="ES6" s="22">
        <v>0</v>
      </c>
      <c r="ET6" s="22">
        <v>34</v>
      </c>
      <c r="EU6" s="22">
        <v>94</v>
      </c>
      <c r="EV6" s="22">
        <v>90</v>
      </c>
      <c r="EW6" s="22"/>
      <c r="EX6" s="22"/>
      <c r="EY6" s="22"/>
      <c r="EZ6" s="22">
        <v>93</v>
      </c>
      <c r="FA6" s="22">
        <v>37</v>
      </c>
      <c r="FB6" s="22">
        <v>34</v>
      </c>
      <c r="FC6" s="18">
        <f t="shared" ref="FC6:FM6" si="3">AVERAGE(P6,AB6,AN6,AZ6,BL6,BX6,CJ6,CV6,DH6,DT6,EF6,ER6)</f>
        <v>12.5</v>
      </c>
      <c r="FD6" s="18">
        <f t="shared" si="3"/>
        <v>3</v>
      </c>
      <c r="FE6" s="18">
        <f t="shared" si="3"/>
        <v>28.083333333333332</v>
      </c>
      <c r="FF6" s="18">
        <f t="shared" si="3"/>
        <v>94.5</v>
      </c>
      <c r="FG6" s="18">
        <f t="shared" si="3"/>
        <v>94.75</v>
      </c>
      <c r="FH6" s="18">
        <f t="shared" si="3"/>
        <v>93.555555555555557</v>
      </c>
      <c r="FI6" s="18">
        <f t="shared" si="3"/>
        <v>3.7777777777777777</v>
      </c>
      <c r="FJ6" s="18">
        <f t="shared" si="3"/>
        <v>100</v>
      </c>
      <c r="FK6" s="18">
        <f t="shared" si="3"/>
        <v>97.416666666666671</v>
      </c>
      <c r="FL6" s="18">
        <f t="shared" si="3"/>
        <v>41.5</v>
      </c>
      <c r="FM6" s="18">
        <f t="shared" si="3"/>
        <v>54.166666666666664</v>
      </c>
      <c r="FN6" s="21">
        <v>92</v>
      </c>
      <c r="FO6" s="22">
        <v>9</v>
      </c>
      <c r="FP6" s="22">
        <v>1</v>
      </c>
      <c r="FQ6" s="22">
        <v>33</v>
      </c>
      <c r="FR6" s="22">
        <v>96</v>
      </c>
      <c r="FS6" s="22">
        <v>100</v>
      </c>
      <c r="FT6" s="22">
        <v>33</v>
      </c>
      <c r="FU6" s="22">
        <v>0</v>
      </c>
      <c r="FV6" s="22">
        <v>100</v>
      </c>
      <c r="FW6" s="22">
        <v>88</v>
      </c>
      <c r="FX6" s="22">
        <v>30</v>
      </c>
      <c r="FY6" s="22">
        <v>41</v>
      </c>
      <c r="FZ6" s="21">
        <v>86</v>
      </c>
      <c r="GA6" s="22">
        <v>12</v>
      </c>
      <c r="GB6" s="22">
        <v>6</v>
      </c>
      <c r="GC6" s="22">
        <v>44</v>
      </c>
      <c r="GD6" s="22">
        <v>94</v>
      </c>
      <c r="GE6" s="22">
        <v>100</v>
      </c>
      <c r="GF6" s="22">
        <v>100</v>
      </c>
      <c r="GG6" s="22">
        <v>0</v>
      </c>
      <c r="GH6" s="22">
        <v>80</v>
      </c>
      <c r="GI6" s="22">
        <v>90</v>
      </c>
      <c r="GJ6" s="22">
        <v>26</v>
      </c>
      <c r="GK6" s="22">
        <v>41</v>
      </c>
    </row>
    <row r="7" spans="1:193" ht="14.25" customHeight="1">
      <c r="A7" s="20">
        <v>122</v>
      </c>
      <c r="B7" s="73" t="s">
        <v>42</v>
      </c>
      <c r="C7" s="21">
        <v>137</v>
      </c>
      <c r="D7" s="22">
        <v>33</v>
      </c>
      <c r="E7" s="22">
        <v>5</v>
      </c>
      <c r="F7" s="22">
        <v>67</v>
      </c>
      <c r="G7" s="23">
        <v>49</v>
      </c>
      <c r="H7" s="23">
        <v>56</v>
      </c>
      <c r="I7" s="23">
        <v>36</v>
      </c>
      <c r="J7" s="23">
        <v>44</v>
      </c>
      <c r="K7" s="23">
        <v>74</v>
      </c>
      <c r="L7" s="23">
        <v>91</v>
      </c>
      <c r="M7" s="23">
        <v>46</v>
      </c>
      <c r="N7" s="23">
        <v>15</v>
      </c>
      <c r="O7" s="21">
        <v>187</v>
      </c>
      <c r="P7" s="22">
        <v>25</v>
      </c>
      <c r="Q7" s="22">
        <v>2</v>
      </c>
      <c r="R7" s="22">
        <v>74</v>
      </c>
      <c r="S7" s="22">
        <v>35</v>
      </c>
      <c r="T7" s="22">
        <v>75</v>
      </c>
      <c r="U7" s="22">
        <v>0</v>
      </c>
      <c r="V7" s="22">
        <v>25</v>
      </c>
      <c r="W7" s="22">
        <v>67</v>
      </c>
      <c r="X7" s="22">
        <v>98</v>
      </c>
      <c r="Y7" s="22">
        <v>41</v>
      </c>
      <c r="Z7" s="22">
        <v>15</v>
      </c>
      <c r="AA7" s="21">
        <v>138</v>
      </c>
      <c r="AB7" s="22">
        <v>25</v>
      </c>
      <c r="AC7" s="22">
        <v>3</v>
      </c>
      <c r="AD7" s="22">
        <v>67</v>
      </c>
      <c r="AE7" s="22">
        <v>48</v>
      </c>
      <c r="AF7" s="22">
        <v>93</v>
      </c>
      <c r="AG7" s="22">
        <v>0</v>
      </c>
      <c r="AH7" s="22">
        <v>75</v>
      </c>
      <c r="AI7" s="22">
        <v>75</v>
      </c>
      <c r="AJ7" s="22">
        <v>97</v>
      </c>
      <c r="AK7" s="22">
        <v>31</v>
      </c>
      <c r="AL7" s="22">
        <v>13</v>
      </c>
      <c r="AM7" s="21">
        <v>156</v>
      </c>
      <c r="AN7" s="22">
        <v>26</v>
      </c>
      <c r="AO7" s="22">
        <v>8</v>
      </c>
      <c r="AP7" s="22">
        <v>71</v>
      </c>
      <c r="AQ7" s="22">
        <v>58</v>
      </c>
      <c r="AR7" s="22">
        <v>78</v>
      </c>
      <c r="AS7" s="22"/>
      <c r="AT7" s="22">
        <v>54</v>
      </c>
      <c r="AU7" s="22">
        <v>100</v>
      </c>
      <c r="AV7" s="22">
        <v>92</v>
      </c>
      <c r="AW7" s="22">
        <v>29</v>
      </c>
      <c r="AX7" s="22">
        <v>11</v>
      </c>
      <c r="AY7" s="21">
        <v>130</v>
      </c>
      <c r="AZ7" s="22">
        <v>18</v>
      </c>
      <c r="BA7" s="22">
        <v>6</v>
      </c>
      <c r="BB7" s="22">
        <v>75</v>
      </c>
      <c r="BC7" s="22">
        <v>53</v>
      </c>
      <c r="BD7" s="22">
        <v>80</v>
      </c>
      <c r="BE7" s="22">
        <v>100</v>
      </c>
      <c r="BF7" s="22">
        <v>38</v>
      </c>
      <c r="BG7" s="22">
        <v>100</v>
      </c>
      <c r="BH7" s="22">
        <v>83</v>
      </c>
      <c r="BI7" s="22">
        <v>19</v>
      </c>
      <c r="BJ7" s="22">
        <v>12</v>
      </c>
      <c r="BK7" s="21">
        <v>137</v>
      </c>
      <c r="BL7" s="22">
        <v>30</v>
      </c>
      <c r="BM7" s="22">
        <v>10</v>
      </c>
      <c r="BN7" s="22">
        <v>66</v>
      </c>
      <c r="BO7" s="22">
        <v>59</v>
      </c>
      <c r="BP7" s="22">
        <v>67</v>
      </c>
      <c r="BQ7" s="22">
        <v>0</v>
      </c>
      <c r="BR7" s="22">
        <v>64</v>
      </c>
      <c r="BS7" s="22">
        <v>100</v>
      </c>
      <c r="BT7" s="22">
        <v>95</v>
      </c>
      <c r="BU7" s="22">
        <v>38</v>
      </c>
      <c r="BV7" s="22">
        <v>19</v>
      </c>
      <c r="BW7" s="21">
        <v>145</v>
      </c>
      <c r="BX7" s="22">
        <v>40</v>
      </c>
      <c r="BY7" s="22">
        <v>14</v>
      </c>
      <c r="BZ7" s="22">
        <v>78</v>
      </c>
      <c r="CA7" s="22">
        <v>47</v>
      </c>
      <c r="CB7" s="22">
        <v>71</v>
      </c>
      <c r="CC7" s="22"/>
      <c r="CD7" s="22">
        <v>52</v>
      </c>
      <c r="CE7" s="22">
        <v>100</v>
      </c>
      <c r="CF7" s="22">
        <v>91</v>
      </c>
      <c r="CG7" s="22">
        <v>38</v>
      </c>
      <c r="CH7" s="22">
        <v>19</v>
      </c>
      <c r="CI7" s="21">
        <v>133</v>
      </c>
      <c r="CJ7" s="22">
        <v>46</v>
      </c>
      <c r="CK7" s="22">
        <v>17</v>
      </c>
      <c r="CL7" s="22">
        <v>71</v>
      </c>
      <c r="CM7" s="22">
        <v>48</v>
      </c>
      <c r="CN7" s="22">
        <v>83</v>
      </c>
      <c r="CO7" s="22">
        <v>100</v>
      </c>
      <c r="CP7" s="22">
        <v>45</v>
      </c>
      <c r="CQ7" s="22">
        <v>89</v>
      </c>
      <c r="CR7" s="22">
        <v>92</v>
      </c>
      <c r="CS7" s="22">
        <v>47</v>
      </c>
      <c r="CT7" s="22">
        <v>22</v>
      </c>
      <c r="CU7" s="21">
        <v>162</v>
      </c>
      <c r="CV7" s="22">
        <v>48</v>
      </c>
      <c r="CW7" s="22">
        <v>11</v>
      </c>
      <c r="CX7" s="22">
        <v>65</v>
      </c>
      <c r="CY7" s="22">
        <v>45</v>
      </c>
      <c r="CZ7" s="22">
        <v>82</v>
      </c>
      <c r="DA7" s="22">
        <v>50</v>
      </c>
      <c r="DB7" s="22">
        <v>56</v>
      </c>
      <c r="DC7" s="22">
        <v>86</v>
      </c>
      <c r="DD7" s="22">
        <v>95</v>
      </c>
      <c r="DE7" s="22">
        <v>47</v>
      </c>
      <c r="DF7" s="22">
        <v>17</v>
      </c>
      <c r="DG7" s="21">
        <v>152</v>
      </c>
      <c r="DH7" s="22">
        <v>38</v>
      </c>
      <c r="DI7" s="22">
        <v>16</v>
      </c>
      <c r="DJ7" s="22">
        <v>59</v>
      </c>
      <c r="DK7" s="22">
        <v>57</v>
      </c>
      <c r="DL7" s="22">
        <v>100</v>
      </c>
      <c r="DM7" s="22">
        <v>100</v>
      </c>
      <c r="DN7" s="22">
        <v>72</v>
      </c>
      <c r="DO7" s="22">
        <v>91</v>
      </c>
      <c r="DP7" s="22">
        <v>97</v>
      </c>
      <c r="DQ7" s="22">
        <v>49</v>
      </c>
      <c r="DR7" s="22">
        <v>21</v>
      </c>
      <c r="DS7" s="21">
        <v>119</v>
      </c>
      <c r="DT7" s="22">
        <v>32</v>
      </c>
      <c r="DU7" s="22">
        <v>12</v>
      </c>
      <c r="DV7" s="22">
        <v>66</v>
      </c>
      <c r="DW7" s="22">
        <v>41</v>
      </c>
      <c r="DX7" s="22">
        <v>100</v>
      </c>
      <c r="DY7" s="22">
        <v>50</v>
      </c>
      <c r="DZ7" s="22">
        <v>93</v>
      </c>
      <c r="EA7" s="22">
        <v>92</v>
      </c>
      <c r="EB7" s="22">
        <v>100</v>
      </c>
      <c r="EC7" s="22">
        <v>42</v>
      </c>
      <c r="ED7" s="22">
        <v>14</v>
      </c>
      <c r="EE7" s="21">
        <v>159</v>
      </c>
      <c r="EF7" s="22">
        <v>49</v>
      </c>
      <c r="EG7" s="22">
        <v>13</v>
      </c>
      <c r="EH7" s="22">
        <v>74</v>
      </c>
      <c r="EI7" s="22">
        <v>30</v>
      </c>
      <c r="EJ7" s="22">
        <v>88</v>
      </c>
      <c r="EK7" s="22">
        <v>100</v>
      </c>
      <c r="EL7" s="22">
        <v>95</v>
      </c>
      <c r="EM7" s="22">
        <v>93</v>
      </c>
      <c r="EN7" s="22">
        <v>97</v>
      </c>
      <c r="EO7" s="22">
        <v>50</v>
      </c>
      <c r="EP7" s="22">
        <v>17</v>
      </c>
      <c r="EQ7" s="21">
        <v>125</v>
      </c>
      <c r="ER7" s="22">
        <v>37</v>
      </c>
      <c r="ES7" s="22">
        <v>10</v>
      </c>
      <c r="ET7" s="22">
        <v>74</v>
      </c>
      <c r="EU7" s="22">
        <v>56</v>
      </c>
      <c r="EV7" s="22">
        <v>58</v>
      </c>
      <c r="EW7" s="22">
        <v>0</v>
      </c>
      <c r="EX7" s="22">
        <v>92</v>
      </c>
      <c r="EY7" s="22">
        <v>91</v>
      </c>
      <c r="EZ7" s="22">
        <v>100</v>
      </c>
      <c r="FA7" s="22">
        <v>43</v>
      </c>
      <c r="FB7" s="22">
        <v>28</v>
      </c>
      <c r="FC7" s="18">
        <f t="shared" ref="FC7:FM7" si="4">AVERAGE(P7,AB7,AN7,AZ7,BL7,BX7,CJ7,CV7,DH7,DT7,EF7,ER7)</f>
        <v>34.5</v>
      </c>
      <c r="FD7" s="18">
        <f t="shared" si="4"/>
        <v>10.166666666666666</v>
      </c>
      <c r="FE7" s="18">
        <f t="shared" si="4"/>
        <v>70</v>
      </c>
      <c r="FF7" s="18">
        <f t="shared" si="4"/>
        <v>48.083333333333336</v>
      </c>
      <c r="FG7" s="18">
        <f t="shared" si="4"/>
        <v>81.25</v>
      </c>
      <c r="FH7" s="18">
        <f t="shared" si="4"/>
        <v>50</v>
      </c>
      <c r="FI7" s="18">
        <f t="shared" si="4"/>
        <v>63.416666666666664</v>
      </c>
      <c r="FJ7" s="18">
        <f t="shared" si="4"/>
        <v>90.333333333333329</v>
      </c>
      <c r="FK7" s="18">
        <f t="shared" si="4"/>
        <v>94.75</v>
      </c>
      <c r="FL7" s="18">
        <f t="shared" si="4"/>
        <v>39.5</v>
      </c>
      <c r="FM7" s="18">
        <f t="shared" si="4"/>
        <v>17.333333333333332</v>
      </c>
      <c r="FN7" s="21">
        <v>138</v>
      </c>
      <c r="FO7" s="22">
        <v>33</v>
      </c>
      <c r="FP7" s="22">
        <v>14</v>
      </c>
      <c r="FQ7" s="22">
        <v>65</v>
      </c>
      <c r="FR7" s="22">
        <v>49</v>
      </c>
      <c r="FS7" s="22">
        <v>87</v>
      </c>
      <c r="FT7" s="22">
        <v>100</v>
      </c>
      <c r="FU7" s="22">
        <v>89</v>
      </c>
      <c r="FV7" s="22">
        <v>92</v>
      </c>
      <c r="FW7" s="22">
        <v>98</v>
      </c>
      <c r="FX7" s="22">
        <v>44</v>
      </c>
      <c r="FY7" s="22">
        <v>5</v>
      </c>
      <c r="FZ7" s="21">
        <v>40</v>
      </c>
      <c r="GA7" s="22">
        <v>30</v>
      </c>
      <c r="GB7" s="22">
        <v>15</v>
      </c>
      <c r="GC7" s="22">
        <v>62</v>
      </c>
      <c r="GD7" s="22">
        <v>50</v>
      </c>
      <c r="GE7" s="22">
        <v>50</v>
      </c>
      <c r="GF7" s="22">
        <v>50</v>
      </c>
      <c r="GG7" s="22">
        <v>100</v>
      </c>
      <c r="GH7" s="22">
        <v>100</v>
      </c>
      <c r="GI7" s="22">
        <v>100</v>
      </c>
      <c r="GJ7" s="22">
        <v>44</v>
      </c>
      <c r="GK7" s="22">
        <v>0</v>
      </c>
    </row>
    <row r="8" spans="1:193" ht="14.25" customHeight="1">
      <c r="A8" s="20">
        <v>125</v>
      </c>
      <c r="B8" s="73" t="s">
        <v>38</v>
      </c>
      <c r="C8" s="21">
        <v>92</v>
      </c>
      <c r="D8" s="22">
        <v>24</v>
      </c>
      <c r="E8" s="22">
        <v>2</v>
      </c>
      <c r="F8" s="22">
        <v>81</v>
      </c>
      <c r="G8" s="23">
        <v>65</v>
      </c>
      <c r="H8" s="23">
        <v>60</v>
      </c>
      <c r="I8" s="23">
        <v>22</v>
      </c>
      <c r="J8" s="23">
        <v>38</v>
      </c>
      <c r="K8" s="23">
        <v>86</v>
      </c>
      <c r="L8" s="23">
        <v>93</v>
      </c>
      <c r="M8" s="23">
        <v>27</v>
      </c>
      <c r="N8" s="23">
        <v>10</v>
      </c>
      <c r="O8" s="21">
        <v>111</v>
      </c>
      <c r="P8" s="22">
        <v>30</v>
      </c>
      <c r="Q8" s="22">
        <v>6</v>
      </c>
      <c r="R8" s="22">
        <v>85</v>
      </c>
      <c r="S8" s="22">
        <v>76</v>
      </c>
      <c r="T8" s="22">
        <v>38</v>
      </c>
      <c r="U8" s="22"/>
      <c r="V8" s="22">
        <v>14</v>
      </c>
      <c r="W8" s="22">
        <v>86</v>
      </c>
      <c r="X8" s="22">
        <v>97</v>
      </c>
      <c r="Y8" s="22">
        <v>28</v>
      </c>
      <c r="Z8" s="22">
        <v>8</v>
      </c>
      <c r="AA8" s="21">
        <v>119</v>
      </c>
      <c r="AB8" s="22">
        <v>13</v>
      </c>
      <c r="AC8" s="22">
        <v>4</v>
      </c>
      <c r="AD8" s="22">
        <v>71</v>
      </c>
      <c r="AE8" s="22">
        <v>70</v>
      </c>
      <c r="AF8" s="22">
        <v>27</v>
      </c>
      <c r="AG8" s="22"/>
      <c r="AH8" s="22">
        <v>40</v>
      </c>
      <c r="AI8" s="22">
        <v>60</v>
      </c>
      <c r="AJ8" s="22">
        <v>94</v>
      </c>
      <c r="AK8" s="22">
        <v>13</v>
      </c>
      <c r="AL8" s="22">
        <v>11</v>
      </c>
      <c r="AM8" s="21">
        <v>80</v>
      </c>
      <c r="AN8" s="22">
        <v>18</v>
      </c>
      <c r="AO8" s="22">
        <v>12</v>
      </c>
      <c r="AP8" s="22">
        <v>81</v>
      </c>
      <c r="AQ8" s="22">
        <v>83</v>
      </c>
      <c r="AR8" s="22">
        <v>75</v>
      </c>
      <c r="AS8" s="22"/>
      <c r="AT8" s="22">
        <v>20</v>
      </c>
      <c r="AU8" s="22">
        <v>100</v>
      </c>
      <c r="AV8" s="22">
        <v>100</v>
      </c>
      <c r="AW8" s="22">
        <v>23</v>
      </c>
      <c r="AX8" s="22">
        <v>13</v>
      </c>
      <c r="AY8" s="21">
        <v>101</v>
      </c>
      <c r="AZ8" s="22">
        <v>9</v>
      </c>
      <c r="BA8" s="22">
        <v>5</v>
      </c>
      <c r="BB8" s="22">
        <v>67</v>
      </c>
      <c r="BC8" s="22">
        <v>78</v>
      </c>
      <c r="BD8" s="22">
        <v>55</v>
      </c>
      <c r="BE8" s="22"/>
      <c r="BF8" s="22">
        <v>20</v>
      </c>
      <c r="BG8" s="22">
        <v>100</v>
      </c>
      <c r="BH8" s="22">
        <v>100</v>
      </c>
      <c r="BI8" s="22">
        <v>12</v>
      </c>
      <c r="BJ8" s="22">
        <v>14</v>
      </c>
      <c r="BK8" s="21">
        <v>89</v>
      </c>
      <c r="BL8" s="22">
        <v>16</v>
      </c>
      <c r="BM8" s="22">
        <v>10</v>
      </c>
      <c r="BN8" s="22">
        <v>94</v>
      </c>
      <c r="BO8" s="22">
        <v>80</v>
      </c>
      <c r="BP8" s="22">
        <v>100</v>
      </c>
      <c r="BQ8" s="22">
        <v>50</v>
      </c>
      <c r="BR8" s="22">
        <v>11</v>
      </c>
      <c r="BS8" s="22">
        <v>100</v>
      </c>
      <c r="BT8" s="22">
        <v>93</v>
      </c>
      <c r="BU8" s="22">
        <v>21</v>
      </c>
      <c r="BV8" s="22">
        <v>11</v>
      </c>
      <c r="BW8" s="21">
        <v>95</v>
      </c>
      <c r="BX8" s="22">
        <v>16</v>
      </c>
      <c r="BY8" s="22">
        <v>6</v>
      </c>
      <c r="BZ8" s="22">
        <v>81</v>
      </c>
      <c r="CA8" s="22">
        <v>75</v>
      </c>
      <c r="CB8" s="22">
        <v>56</v>
      </c>
      <c r="CC8" s="22"/>
      <c r="CD8" s="22">
        <v>0</v>
      </c>
      <c r="CE8" s="22">
        <v>100</v>
      </c>
      <c r="CF8" s="22">
        <v>100</v>
      </c>
      <c r="CG8" s="22">
        <v>31</v>
      </c>
      <c r="CH8" s="22">
        <v>9</v>
      </c>
      <c r="CI8" s="21">
        <v>83</v>
      </c>
      <c r="CJ8" s="22">
        <v>10</v>
      </c>
      <c r="CK8" s="22">
        <v>7</v>
      </c>
      <c r="CL8" s="22">
        <v>94</v>
      </c>
      <c r="CM8" s="22">
        <v>58</v>
      </c>
      <c r="CN8" s="22">
        <v>50</v>
      </c>
      <c r="CO8" s="22">
        <v>100</v>
      </c>
      <c r="CP8" s="22">
        <v>17</v>
      </c>
      <c r="CQ8" s="22">
        <v>100</v>
      </c>
      <c r="CR8" s="22">
        <v>88</v>
      </c>
      <c r="CS8" s="22">
        <v>44</v>
      </c>
      <c r="CT8" s="22">
        <v>19</v>
      </c>
      <c r="CU8" s="21">
        <v>112</v>
      </c>
      <c r="CV8" s="22">
        <v>18</v>
      </c>
      <c r="CW8" s="22">
        <v>4</v>
      </c>
      <c r="CX8" s="22">
        <v>76</v>
      </c>
      <c r="CY8" s="22">
        <v>71</v>
      </c>
      <c r="CZ8" s="22">
        <v>67</v>
      </c>
      <c r="DA8" s="22">
        <v>0</v>
      </c>
      <c r="DB8" s="22">
        <v>20</v>
      </c>
      <c r="DC8" s="22">
        <v>100</v>
      </c>
      <c r="DD8" s="22">
        <v>100</v>
      </c>
      <c r="DE8" s="22">
        <v>30</v>
      </c>
      <c r="DF8" s="22">
        <v>10</v>
      </c>
      <c r="DG8" s="21">
        <v>88</v>
      </c>
      <c r="DH8" s="22">
        <v>17</v>
      </c>
      <c r="DI8" s="22">
        <v>2</v>
      </c>
      <c r="DJ8" s="22">
        <v>95</v>
      </c>
      <c r="DK8" s="22">
        <v>60</v>
      </c>
      <c r="DL8" s="22">
        <v>100</v>
      </c>
      <c r="DM8" s="22"/>
      <c r="DN8" s="22">
        <v>0</v>
      </c>
      <c r="DO8" s="22">
        <v>100</v>
      </c>
      <c r="DP8" s="22">
        <v>100</v>
      </c>
      <c r="DQ8" s="22">
        <v>34</v>
      </c>
      <c r="DR8" s="22">
        <v>7</v>
      </c>
      <c r="DS8" s="21">
        <v>16</v>
      </c>
      <c r="DT8" s="22">
        <v>31</v>
      </c>
      <c r="DU8" s="22">
        <v>0</v>
      </c>
      <c r="DV8" s="22">
        <v>100</v>
      </c>
      <c r="DW8" s="22">
        <v>100</v>
      </c>
      <c r="DX8" s="22">
        <v>100</v>
      </c>
      <c r="DY8" s="22"/>
      <c r="DZ8" s="22"/>
      <c r="EA8" s="22"/>
      <c r="EB8" s="22">
        <v>100</v>
      </c>
      <c r="EC8" s="22">
        <v>25</v>
      </c>
      <c r="ED8" s="22">
        <v>0</v>
      </c>
      <c r="EE8" s="21">
        <v>37</v>
      </c>
      <c r="EF8" s="22">
        <v>5</v>
      </c>
      <c r="EG8" s="22">
        <v>8</v>
      </c>
      <c r="EH8" s="22">
        <v>65</v>
      </c>
      <c r="EI8" s="22">
        <v>100</v>
      </c>
      <c r="EJ8" s="22"/>
      <c r="EK8" s="22"/>
      <c r="EL8" s="22">
        <v>0</v>
      </c>
      <c r="EM8" s="22">
        <v>100</v>
      </c>
      <c r="EN8" s="22">
        <v>100</v>
      </c>
      <c r="EO8" s="22">
        <v>26</v>
      </c>
      <c r="EP8" s="22">
        <v>23</v>
      </c>
      <c r="EQ8" s="21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18">
        <f t="shared" ref="FC8:FM8" si="5">AVERAGE(P8,AB8,AN8,AZ8,BL8,BX8,CJ8,CV8,DH8,DT8,EF8,ER8)</f>
        <v>16.636363636363637</v>
      </c>
      <c r="FD8" s="18">
        <f t="shared" si="5"/>
        <v>5.8181818181818183</v>
      </c>
      <c r="FE8" s="18">
        <f t="shared" si="5"/>
        <v>82.63636363636364</v>
      </c>
      <c r="FF8" s="18">
        <f t="shared" si="5"/>
        <v>77.36363636363636</v>
      </c>
      <c r="FG8" s="18">
        <f t="shared" si="5"/>
        <v>66.8</v>
      </c>
      <c r="FH8" s="18">
        <f t="shared" si="5"/>
        <v>50</v>
      </c>
      <c r="FI8" s="18">
        <f t="shared" si="5"/>
        <v>14.2</v>
      </c>
      <c r="FJ8" s="18">
        <f t="shared" si="5"/>
        <v>94.6</v>
      </c>
      <c r="FK8" s="18">
        <f t="shared" si="5"/>
        <v>97.454545454545453</v>
      </c>
      <c r="FL8" s="18">
        <f t="shared" si="5"/>
        <v>26.09090909090909</v>
      </c>
      <c r="FM8" s="18">
        <f t="shared" si="5"/>
        <v>11.363636363636363</v>
      </c>
      <c r="FN8" s="21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1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</row>
    <row r="9" spans="1:193" ht="14.25" customHeight="1">
      <c r="A9" s="20">
        <v>130</v>
      </c>
      <c r="B9" s="73" t="s">
        <v>40</v>
      </c>
      <c r="C9" s="21">
        <v>466</v>
      </c>
      <c r="D9" s="22">
        <v>26</v>
      </c>
      <c r="E9" s="22">
        <v>5</v>
      </c>
      <c r="F9" s="22">
        <v>77</v>
      </c>
      <c r="G9" s="23">
        <v>77</v>
      </c>
      <c r="H9" s="23">
        <v>52</v>
      </c>
      <c r="I9" s="23">
        <v>48</v>
      </c>
      <c r="J9" s="23">
        <v>64</v>
      </c>
      <c r="K9" s="23">
        <v>91</v>
      </c>
      <c r="L9" s="23">
        <v>94</v>
      </c>
      <c r="M9" s="23">
        <v>41</v>
      </c>
      <c r="N9" s="23">
        <v>32</v>
      </c>
      <c r="O9" s="21">
        <v>477</v>
      </c>
      <c r="P9" s="22">
        <v>19</v>
      </c>
      <c r="Q9" s="22">
        <v>5</v>
      </c>
      <c r="R9" s="22">
        <v>79</v>
      </c>
      <c r="S9" s="22">
        <v>75</v>
      </c>
      <c r="T9" s="22">
        <v>78</v>
      </c>
      <c r="U9" s="22">
        <v>33</v>
      </c>
      <c r="V9" s="22">
        <v>73</v>
      </c>
      <c r="W9" s="22">
        <v>100</v>
      </c>
      <c r="X9" s="22">
        <v>91</v>
      </c>
      <c r="Y9" s="22">
        <v>25</v>
      </c>
      <c r="Z9" s="22">
        <v>28</v>
      </c>
      <c r="AA9" s="21">
        <v>399</v>
      </c>
      <c r="AB9" s="22">
        <v>19</v>
      </c>
      <c r="AC9" s="22">
        <v>4</v>
      </c>
      <c r="AD9" s="22">
        <v>74</v>
      </c>
      <c r="AE9" s="22">
        <v>85</v>
      </c>
      <c r="AF9" s="22">
        <v>68</v>
      </c>
      <c r="AG9" s="22">
        <v>100</v>
      </c>
      <c r="AH9" s="22">
        <v>79</v>
      </c>
      <c r="AI9" s="22">
        <v>93</v>
      </c>
      <c r="AJ9" s="22">
        <v>95</v>
      </c>
      <c r="AK9" s="22">
        <v>19</v>
      </c>
      <c r="AL9" s="22">
        <v>25</v>
      </c>
      <c r="AM9" s="21">
        <v>521</v>
      </c>
      <c r="AN9" s="22">
        <v>21</v>
      </c>
      <c r="AO9" s="22">
        <v>4</v>
      </c>
      <c r="AP9" s="22">
        <v>76</v>
      </c>
      <c r="AQ9" s="22">
        <v>80</v>
      </c>
      <c r="AR9" s="22">
        <v>67</v>
      </c>
      <c r="AS9" s="22">
        <v>100</v>
      </c>
      <c r="AT9" s="22">
        <v>59</v>
      </c>
      <c r="AU9" s="22">
        <v>100</v>
      </c>
      <c r="AV9" s="22">
        <v>91</v>
      </c>
      <c r="AW9" s="22">
        <v>17</v>
      </c>
      <c r="AX9" s="22">
        <v>24</v>
      </c>
      <c r="AY9" s="21">
        <v>500</v>
      </c>
      <c r="AZ9" s="22">
        <v>21</v>
      </c>
      <c r="BA9" s="22">
        <v>4</v>
      </c>
      <c r="BB9" s="22">
        <v>76</v>
      </c>
      <c r="BC9" s="22">
        <v>85</v>
      </c>
      <c r="BD9" s="22">
        <v>76</v>
      </c>
      <c r="BE9" s="22">
        <v>67</v>
      </c>
      <c r="BF9" s="22">
        <v>57</v>
      </c>
      <c r="BG9" s="22">
        <v>95</v>
      </c>
      <c r="BH9" s="22">
        <v>92</v>
      </c>
      <c r="BI9" s="22">
        <v>28</v>
      </c>
      <c r="BJ9" s="22">
        <v>28</v>
      </c>
      <c r="BK9" s="21">
        <v>485</v>
      </c>
      <c r="BL9" s="22">
        <v>26</v>
      </c>
      <c r="BM9" s="22">
        <v>7</v>
      </c>
      <c r="BN9" s="22">
        <v>80</v>
      </c>
      <c r="BO9" s="22">
        <v>79</v>
      </c>
      <c r="BP9" s="22">
        <v>66</v>
      </c>
      <c r="BQ9" s="22">
        <v>0</v>
      </c>
      <c r="BR9" s="22">
        <v>82</v>
      </c>
      <c r="BS9" s="22">
        <v>97</v>
      </c>
      <c r="BT9" s="22">
        <v>99</v>
      </c>
      <c r="BU9" s="22">
        <v>44</v>
      </c>
      <c r="BV9" s="22">
        <v>22</v>
      </c>
      <c r="BW9" s="21">
        <v>477</v>
      </c>
      <c r="BX9" s="22">
        <v>28</v>
      </c>
      <c r="BY9" s="22">
        <v>4</v>
      </c>
      <c r="BZ9" s="22">
        <v>71</v>
      </c>
      <c r="CA9" s="22">
        <v>81</v>
      </c>
      <c r="CB9" s="22">
        <v>70</v>
      </c>
      <c r="CC9" s="22"/>
      <c r="CD9" s="22">
        <v>57</v>
      </c>
      <c r="CE9" s="22">
        <v>100</v>
      </c>
      <c r="CF9" s="22">
        <v>98</v>
      </c>
      <c r="CG9" s="22">
        <v>47</v>
      </c>
      <c r="CH9" s="22">
        <v>29</v>
      </c>
      <c r="CI9" s="21">
        <v>456</v>
      </c>
      <c r="CJ9" s="22">
        <v>27</v>
      </c>
      <c r="CK9" s="22">
        <v>4</v>
      </c>
      <c r="CL9" s="22">
        <v>71</v>
      </c>
      <c r="CM9" s="22">
        <v>78</v>
      </c>
      <c r="CN9" s="22">
        <v>64</v>
      </c>
      <c r="CO9" s="22">
        <v>71</v>
      </c>
      <c r="CP9" s="22">
        <v>74</v>
      </c>
      <c r="CQ9" s="22">
        <v>100</v>
      </c>
      <c r="CR9" s="22">
        <v>93</v>
      </c>
      <c r="CS9" s="22">
        <v>50</v>
      </c>
      <c r="CT9" s="22">
        <v>32</v>
      </c>
      <c r="CU9" s="21">
        <v>500</v>
      </c>
      <c r="CV9" s="22">
        <v>29</v>
      </c>
      <c r="CW9" s="22">
        <v>6</v>
      </c>
      <c r="CX9" s="22">
        <v>66</v>
      </c>
      <c r="CY9" s="22">
        <v>82</v>
      </c>
      <c r="CZ9" s="22">
        <v>68</v>
      </c>
      <c r="DA9" s="22">
        <v>60</v>
      </c>
      <c r="DB9" s="22">
        <v>69</v>
      </c>
      <c r="DC9" s="22">
        <v>100</v>
      </c>
      <c r="DD9" s="22">
        <v>99</v>
      </c>
      <c r="DE9" s="22">
        <v>42</v>
      </c>
      <c r="DF9" s="22">
        <v>34</v>
      </c>
      <c r="DG9" s="21">
        <v>455</v>
      </c>
      <c r="DH9" s="22">
        <v>32</v>
      </c>
      <c r="DI9" s="22">
        <v>10</v>
      </c>
      <c r="DJ9" s="22">
        <v>78</v>
      </c>
      <c r="DK9" s="22">
        <v>77</v>
      </c>
      <c r="DL9" s="22">
        <v>77</v>
      </c>
      <c r="DM9" s="22">
        <v>67</v>
      </c>
      <c r="DN9" s="22">
        <v>91</v>
      </c>
      <c r="DO9" s="22">
        <v>100</v>
      </c>
      <c r="DP9" s="22">
        <v>94</v>
      </c>
      <c r="DQ9" s="22">
        <v>49</v>
      </c>
      <c r="DR9" s="22">
        <v>33</v>
      </c>
      <c r="DS9" s="21">
        <v>483</v>
      </c>
      <c r="DT9" s="22">
        <v>28</v>
      </c>
      <c r="DU9" s="22">
        <v>10</v>
      </c>
      <c r="DV9" s="22">
        <v>75</v>
      </c>
      <c r="DW9" s="22">
        <v>73</v>
      </c>
      <c r="DX9" s="22">
        <v>66</v>
      </c>
      <c r="DY9" s="22">
        <v>25</v>
      </c>
      <c r="DZ9" s="22">
        <v>96</v>
      </c>
      <c r="EA9" s="22">
        <v>100</v>
      </c>
      <c r="EB9" s="22">
        <v>96</v>
      </c>
      <c r="EC9" s="22">
        <v>44</v>
      </c>
      <c r="ED9" s="22">
        <v>25</v>
      </c>
      <c r="EE9" s="21">
        <v>487</v>
      </c>
      <c r="EF9" s="22">
        <v>18</v>
      </c>
      <c r="EG9" s="22">
        <v>11</v>
      </c>
      <c r="EH9" s="22">
        <v>73</v>
      </c>
      <c r="EI9" s="22">
        <v>78</v>
      </c>
      <c r="EJ9" s="22">
        <v>73</v>
      </c>
      <c r="EK9" s="22">
        <v>33</v>
      </c>
      <c r="EL9" s="22">
        <v>91</v>
      </c>
      <c r="EM9" s="22">
        <v>92</v>
      </c>
      <c r="EN9" s="22">
        <v>90</v>
      </c>
      <c r="EO9" s="22">
        <v>42</v>
      </c>
      <c r="EP9" s="22">
        <v>26</v>
      </c>
      <c r="EQ9" s="21">
        <v>485</v>
      </c>
      <c r="ER9" s="22">
        <v>20</v>
      </c>
      <c r="ES9" s="22">
        <v>7</v>
      </c>
      <c r="ET9" s="22">
        <v>70</v>
      </c>
      <c r="EU9" s="22">
        <v>76</v>
      </c>
      <c r="EV9" s="22">
        <v>69</v>
      </c>
      <c r="EW9" s="22">
        <v>83</v>
      </c>
      <c r="EX9" s="22">
        <v>89</v>
      </c>
      <c r="EY9" s="22">
        <v>97</v>
      </c>
      <c r="EZ9" s="22">
        <v>97</v>
      </c>
      <c r="FA9" s="22">
        <v>42</v>
      </c>
      <c r="FB9" s="22">
        <v>27</v>
      </c>
      <c r="FC9" s="18">
        <f t="shared" ref="FC9:FM9" si="6">AVERAGE(P9,AB9,AN9,AZ9,BL9,BX9,CJ9,CV9,DH9,DT9,EF9,ER9)</f>
        <v>24</v>
      </c>
      <c r="FD9" s="18">
        <f t="shared" si="6"/>
        <v>6.333333333333333</v>
      </c>
      <c r="FE9" s="18">
        <f t="shared" si="6"/>
        <v>74.083333333333329</v>
      </c>
      <c r="FF9" s="18">
        <f t="shared" si="6"/>
        <v>79.083333333333329</v>
      </c>
      <c r="FG9" s="18">
        <f t="shared" si="6"/>
        <v>70.166666666666671</v>
      </c>
      <c r="FH9" s="18">
        <f t="shared" si="6"/>
        <v>58.090909090909093</v>
      </c>
      <c r="FI9" s="18">
        <f t="shared" si="6"/>
        <v>76.416666666666671</v>
      </c>
      <c r="FJ9" s="18">
        <f t="shared" si="6"/>
        <v>97.833333333333329</v>
      </c>
      <c r="FK9" s="18">
        <f t="shared" si="6"/>
        <v>94.583333333333329</v>
      </c>
      <c r="FL9" s="18">
        <f t="shared" si="6"/>
        <v>37.416666666666664</v>
      </c>
      <c r="FM9" s="18">
        <f t="shared" si="6"/>
        <v>27.75</v>
      </c>
      <c r="FN9" s="21">
        <v>551</v>
      </c>
      <c r="FO9" s="22">
        <v>26</v>
      </c>
      <c r="FP9" s="22">
        <v>6</v>
      </c>
      <c r="FQ9" s="22">
        <v>78</v>
      </c>
      <c r="FR9" s="22">
        <v>74</v>
      </c>
      <c r="FS9" s="22">
        <v>69</v>
      </c>
      <c r="FT9" s="22">
        <v>50</v>
      </c>
      <c r="FU9" s="22">
        <v>83</v>
      </c>
      <c r="FV9" s="22">
        <v>94</v>
      </c>
      <c r="FW9" s="22">
        <v>96</v>
      </c>
      <c r="FX9" s="22">
        <v>37</v>
      </c>
      <c r="FY9" s="22">
        <v>21</v>
      </c>
      <c r="FZ9" s="21">
        <v>387</v>
      </c>
      <c r="GA9" s="22">
        <v>15</v>
      </c>
      <c r="GB9" s="22">
        <v>8</v>
      </c>
      <c r="GC9" s="22">
        <v>83</v>
      </c>
      <c r="GD9" s="22">
        <v>75</v>
      </c>
      <c r="GE9" s="22">
        <v>56</v>
      </c>
      <c r="GF9" s="22"/>
      <c r="GG9" s="22">
        <v>97</v>
      </c>
      <c r="GH9" s="22">
        <v>91</v>
      </c>
      <c r="GI9" s="22">
        <v>95</v>
      </c>
      <c r="GJ9" s="22">
        <v>22</v>
      </c>
      <c r="GK9" s="22">
        <v>15</v>
      </c>
    </row>
    <row r="10" spans="1:193" ht="14.25" customHeight="1">
      <c r="C10" s="17"/>
      <c r="O10" s="17"/>
      <c r="AA10" s="17"/>
      <c r="AM10" s="17"/>
      <c r="AY10" s="17"/>
      <c r="BK10" s="17"/>
      <c r="BW10" s="17"/>
      <c r="CI10" s="17"/>
      <c r="CU10" s="17"/>
      <c r="DG10" s="17"/>
      <c r="DS10" s="17"/>
      <c r="EE10" s="17"/>
      <c r="EQ10" s="17"/>
      <c r="FC10" s="24" t="e">
        <f t="shared" ref="FC10:FM10" si="7">AVERAGE(P10,AB10,AN10,AZ10,BL10,BX10,CJ10,CV10,DH10,DT10,EF10,ER10)</f>
        <v>#DIV/0!</v>
      </c>
      <c r="FD10" s="24" t="e">
        <f t="shared" si="7"/>
        <v>#DIV/0!</v>
      </c>
      <c r="FE10" s="24" t="e">
        <f t="shared" si="7"/>
        <v>#DIV/0!</v>
      </c>
      <c r="FF10" s="24" t="e">
        <f t="shared" si="7"/>
        <v>#DIV/0!</v>
      </c>
      <c r="FG10" s="24" t="e">
        <f t="shared" si="7"/>
        <v>#DIV/0!</v>
      </c>
      <c r="FH10" s="24" t="e">
        <f t="shared" si="7"/>
        <v>#DIV/0!</v>
      </c>
      <c r="FI10" s="24" t="e">
        <f t="shared" si="7"/>
        <v>#DIV/0!</v>
      </c>
      <c r="FJ10" s="24" t="e">
        <f t="shared" si="7"/>
        <v>#DIV/0!</v>
      </c>
      <c r="FK10" s="24" t="e">
        <f t="shared" si="7"/>
        <v>#DIV/0!</v>
      </c>
      <c r="FL10" s="24" t="e">
        <f t="shared" si="7"/>
        <v>#DIV/0!</v>
      </c>
      <c r="FM10" s="24" t="e">
        <f t="shared" si="7"/>
        <v>#DIV/0!</v>
      </c>
      <c r="FN10" s="17"/>
      <c r="FZ10" s="17"/>
    </row>
    <row r="11" spans="1:193" ht="14.25" customHeight="1">
      <c r="B11" s="30" t="s">
        <v>43</v>
      </c>
      <c r="C11" s="31">
        <f>AVERAGE(C3:C9)</f>
        <v>234</v>
      </c>
      <c r="D11" s="32">
        <f>AVERAGE(D3:D9)</f>
        <v>23</v>
      </c>
      <c r="E11" s="32">
        <f>AVERAGE(E3:E9)</f>
        <v>7.2857142857142856</v>
      </c>
      <c r="F11" s="32">
        <f>AVERAGE(F3:F9)</f>
        <v>63.571428571428569</v>
      </c>
      <c r="G11" s="32">
        <f>AVERAGE(G3:G9)</f>
        <v>65.714285714285708</v>
      </c>
      <c r="H11" s="32">
        <f>AVERAGE(H3:H9)</f>
        <v>62.857142857142854</v>
      </c>
      <c r="I11" s="32">
        <f>AVERAGE(I3:I9)</f>
        <v>45.857142857142854</v>
      </c>
      <c r="J11" s="32">
        <f>AVERAGE(J3:J9)</f>
        <v>38.142857142857146</v>
      </c>
      <c r="K11" s="32">
        <f>AVERAGE(K3:K9)</f>
        <v>89.285714285714292</v>
      </c>
      <c r="L11" s="32">
        <f>AVERAGE(L3:L9)</f>
        <v>93.285714285714292</v>
      </c>
      <c r="M11" s="32">
        <f>AVERAGE(M3:M9)</f>
        <v>40.571428571428569</v>
      </c>
      <c r="N11" s="32">
        <f>AVERAGE(N3:N9)</f>
        <v>26.857142857142858</v>
      </c>
      <c r="O11" s="31">
        <f>AVERAGE(O3:O9)</f>
        <v>225.14285714285714</v>
      </c>
      <c r="P11" s="32">
        <f>AVERAGE(P3:P9)</f>
        <v>19</v>
      </c>
      <c r="Q11" s="32">
        <f>AVERAGE(Q3:Q9)</f>
        <v>8.2857142857142865</v>
      </c>
      <c r="R11" s="32">
        <f>AVERAGE(R3:R9)</f>
        <v>61.571428571428569</v>
      </c>
      <c r="S11" s="32">
        <f>AVERAGE(S3:S9)</f>
        <v>71.142857142857139</v>
      </c>
      <c r="T11" s="32">
        <f>AVERAGE(T3:T9)</f>
        <v>72.285714285714292</v>
      </c>
      <c r="U11" s="32">
        <f>AVERAGE(U3:U9)</f>
        <v>39.6</v>
      </c>
      <c r="V11" s="32">
        <f>AVERAGE(V3:V9)</f>
        <v>22.166666666666668</v>
      </c>
      <c r="W11" s="32">
        <f>AVERAGE(W3:W9)</f>
        <v>91.333333333333329</v>
      </c>
      <c r="X11" s="32">
        <f>AVERAGE(X3:X9)</f>
        <v>95.166666666666671</v>
      </c>
      <c r="Y11" s="32">
        <f>AVERAGE(Y3:Y9)</f>
        <v>29.857142857142858</v>
      </c>
      <c r="Z11" s="32">
        <f>AVERAGE(Z3:Z9)</f>
        <v>30.857142857142858</v>
      </c>
      <c r="AA11" s="31">
        <f>AVERAGE(AA3:AA9)</f>
        <v>212</v>
      </c>
      <c r="AB11" s="31">
        <f>AVERAGE(AB3:AB9)</f>
        <v>18.285714285714285</v>
      </c>
      <c r="AC11" s="31">
        <f>AVERAGE(AC3:AC9)</f>
        <v>8.5714285714285712</v>
      </c>
      <c r="AD11" s="31">
        <f>AVERAGE(AD3:AD9)</f>
        <v>56.142857142857146</v>
      </c>
      <c r="AE11" s="31">
        <f>AVERAGE(AE3:AE9)</f>
        <v>79.571428571428569</v>
      </c>
      <c r="AF11" s="31">
        <f>AVERAGE(AF3:AF9)</f>
        <v>71.428571428571431</v>
      </c>
      <c r="AG11" s="31">
        <f>AVERAGE(AG3:AG9)</f>
        <v>63</v>
      </c>
      <c r="AH11" s="31">
        <f>AVERAGE(AH3:AH9)</f>
        <v>50.166666666666664</v>
      </c>
      <c r="AI11" s="31">
        <f>AVERAGE(AI3:AI9)</f>
        <v>82.6</v>
      </c>
      <c r="AJ11" s="31">
        <f>AVERAGE(AJ3:AJ9)</f>
        <v>91</v>
      </c>
      <c r="AK11" s="31">
        <f>AVERAGE(AK3:AK9)</f>
        <v>28</v>
      </c>
      <c r="AL11" s="31">
        <f>AVERAGE(AL3:AL9)</f>
        <v>26.428571428571427</v>
      </c>
      <c r="AM11" s="31">
        <f>AVERAGE(AM3:AM9)</f>
        <v>224.57142857142858</v>
      </c>
      <c r="AN11" s="31">
        <f>AVERAGE(AN3:AN9)</f>
        <v>19.571428571428573</v>
      </c>
      <c r="AO11" s="31">
        <f>AVERAGE(AO3:AO9)</f>
        <v>10.714285714285714</v>
      </c>
      <c r="AP11" s="31">
        <f>AVERAGE(AP3:AP9)</f>
        <v>59.571428571428569</v>
      </c>
      <c r="AQ11" s="31">
        <f>AVERAGE(AQ3:AQ9)</f>
        <v>81.857142857142861</v>
      </c>
      <c r="AR11" s="31">
        <f>AVERAGE(AR3:AR9)</f>
        <v>73.166666666666671</v>
      </c>
      <c r="AS11" s="31">
        <f>AVERAGE(AS3:AS9)</f>
        <v>80</v>
      </c>
      <c r="AT11" s="31">
        <f>AVERAGE(AT3:AT9)</f>
        <v>30.2</v>
      </c>
      <c r="AU11" s="31">
        <f>AVERAGE(AU3:AU9)</f>
        <v>98.6</v>
      </c>
      <c r="AV11" s="31">
        <f>AVERAGE(AV3:AV9)</f>
        <v>96.428571428571431</v>
      </c>
      <c r="AW11" s="31">
        <f>AVERAGE(AW3:AW9)</f>
        <v>31.571428571428573</v>
      </c>
      <c r="AX11" s="31">
        <f>AVERAGE(AX3:AX9)</f>
        <v>31.714285714285715</v>
      </c>
      <c r="AY11" s="31">
        <f>AVERAGE(AY3:AY9)</f>
        <v>216.42857142857142</v>
      </c>
      <c r="AZ11" s="31">
        <f>AVERAGE(AZ3:AZ9)</f>
        <v>14.714285714285714</v>
      </c>
      <c r="BA11" s="31">
        <f>AVERAGE(BA3:BA9)</f>
        <v>9.1428571428571423</v>
      </c>
      <c r="BB11" s="31">
        <f>AVERAGE(BB3:BB9)</f>
        <v>57.428571428571431</v>
      </c>
      <c r="BC11" s="31">
        <f>AVERAGE(BC3:BC9)</f>
        <v>76.571428571428569</v>
      </c>
      <c r="BD11" s="31">
        <f>AVERAGE(BD3:BD9)</f>
        <v>78.571428571428569</v>
      </c>
      <c r="BE11" s="31">
        <f>AVERAGE(BE3:BE9)</f>
        <v>88.4</v>
      </c>
      <c r="BF11" s="31">
        <f>AVERAGE(BF3:BF9)</f>
        <v>22</v>
      </c>
      <c r="BG11" s="31">
        <f>AVERAGE(BG3:BG9)</f>
        <v>98.333333333333329</v>
      </c>
      <c r="BH11" s="31">
        <f>AVERAGE(BH3:BH9)</f>
        <v>94.833333333333329</v>
      </c>
      <c r="BI11" s="31">
        <f>AVERAGE(BI3:BI9)</f>
        <v>30.142857142857142</v>
      </c>
      <c r="BJ11" s="31">
        <f>AVERAGE(BJ3:BJ9)</f>
        <v>36.142857142857146</v>
      </c>
      <c r="BK11" s="31">
        <f>AVERAGE(BK3:BK9)</f>
        <v>221.14285714285714</v>
      </c>
      <c r="BL11" s="31">
        <f>AVERAGE(BL3:BL9)</f>
        <v>23.428571428571427</v>
      </c>
      <c r="BM11" s="31">
        <f>AVERAGE(BM3:BM9)</f>
        <v>13.285714285714286</v>
      </c>
      <c r="BN11" s="31">
        <f>AVERAGE(BN3:BN9)</f>
        <v>58.428571428571431</v>
      </c>
      <c r="BO11" s="31">
        <f>AVERAGE(BO3:BO9)</f>
        <v>76.142857142857139</v>
      </c>
      <c r="BP11" s="31">
        <f>AVERAGE(BP3:BP9)</f>
        <v>79</v>
      </c>
      <c r="BQ11" s="31">
        <f>AVERAGE(BQ3:BQ9)</f>
        <v>37.833333333333336</v>
      </c>
      <c r="BR11" s="31">
        <f>AVERAGE(BR3:BR9)</f>
        <v>33.142857142857146</v>
      </c>
      <c r="BS11" s="31">
        <f>AVERAGE(BS3:BS9)</f>
        <v>99.142857142857139</v>
      </c>
      <c r="BT11" s="31">
        <f>AVERAGE(BT3:BT9)</f>
        <v>82</v>
      </c>
      <c r="BU11" s="31">
        <f>AVERAGE(BU3:BU9)</f>
        <v>44.142857142857146</v>
      </c>
      <c r="BV11" s="31">
        <f>AVERAGE(BV3:BV9)</f>
        <v>36.428571428571431</v>
      </c>
      <c r="BW11" s="31">
        <f>AVERAGE(BW3:BW9)</f>
        <v>229.42857142857142</v>
      </c>
      <c r="BX11" s="31">
        <f>AVERAGE(BX3:BX9)</f>
        <v>25.857142857142858</v>
      </c>
      <c r="BY11" s="31">
        <f>AVERAGE(BY3:BY9)</f>
        <v>12</v>
      </c>
      <c r="BZ11" s="31">
        <f>AVERAGE(BZ3:BZ9)</f>
        <v>58.857142857142854</v>
      </c>
      <c r="CA11" s="31">
        <f>AVERAGE(CA3:CA9)</f>
        <v>73.571428571428569</v>
      </c>
      <c r="CB11" s="31">
        <f>AVERAGE(CB3:CB9)</f>
        <v>76</v>
      </c>
      <c r="CC11" s="31">
        <f>AVERAGE(CC3:CC9)</f>
        <v>63.5</v>
      </c>
      <c r="CD11" s="31">
        <f>AVERAGE(CD3:CD9)</f>
        <v>30.428571428571427</v>
      </c>
      <c r="CE11" s="31">
        <f>AVERAGE(CE3:CE9)</f>
        <v>98</v>
      </c>
      <c r="CF11" s="31">
        <f>AVERAGE(CF3:CF9)</f>
        <v>92.428571428571431</v>
      </c>
      <c r="CG11" s="31">
        <f>AVERAGE(CG3:CG9)</f>
        <v>51.142857142857146</v>
      </c>
      <c r="CH11" s="31">
        <f>AVERAGE(CH3:CH9)</f>
        <v>37.714285714285715</v>
      </c>
      <c r="CI11" s="31">
        <f>AVERAGE(CI3:CI9)</f>
        <v>225.57142857142858</v>
      </c>
      <c r="CJ11" s="31">
        <f>AVERAGE(CJ3:CJ9)</f>
        <v>23.714285714285715</v>
      </c>
      <c r="CK11" s="31">
        <f>AVERAGE(CK3:CK9)</f>
        <v>13.571428571428571</v>
      </c>
      <c r="CL11" s="31">
        <f>AVERAGE(CL3:CL9)</f>
        <v>58.142857142857146</v>
      </c>
      <c r="CM11" s="31">
        <f>AVERAGE(CM3:CM9)</f>
        <v>68.571428571428569</v>
      </c>
      <c r="CN11" s="31">
        <f>AVERAGE(CN3:CN9)</f>
        <v>76</v>
      </c>
      <c r="CO11" s="31">
        <f>AVERAGE(CO3:CO9)</f>
        <v>84.857142857142861</v>
      </c>
      <c r="CP11" s="31">
        <f>AVERAGE(CP3:CP9)</f>
        <v>34.428571428571431</v>
      </c>
      <c r="CQ11" s="31">
        <f>AVERAGE(CQ3:CQ9)</f>
        <v>97.857142857142861</v>
      </c>
      <c r="CR11" s="31">
        <f>AVERAGE(CR3:CR9)</f>
        <v>94.857142857142861</v>
      </c>
      <c r="CS11" s="31">
        <f>AVERAGE(CS3:CS9)</f>
        <v>53.428571428571431</v>
      </c>
      <c r="CT11" s="31">
        <f>AVERAGE(CT3:CT9)</f>
        <v>37.142857142857146</v>
      </c>
      <c r="CU11" s="31">
        <f>AVERAGE(CU3:CU9)</f>
        <v>260.42857142857144</v>
      </c>
      <c r="CV11" s="31">
        <f>AVERAGE(CV3:CV9)</f>
        <v>25.857142857142858</v>
      </c>
      <c r="CW11" s="31">
        <f>AVERAGE(CW3:CW9)</f>
        <v>12.142857142857142</v>
      </c>
      <c r="CX11" s="31">
        <f>AVERAGE(CX3:CX9)</f>
        <v>56.428571428571431</v>
      </c>
      <c r="CY11" s="31">
        <f>AVERAGE(CY3:CY9)</f>
        <v>71.857142857142861</v>
      </c>
      <c r="CZ11" s="31">
        <f>AVERAGE(CZ3:CZ9)</f>
        <v>78.571428571428569</v>
      </c>
      <c r="DA11" s="31">
        <f>AVERAGE(DA3:DA9)</f>
        <v>62.142857142857146</v>
      </c>
      <c r="DB11" s="31">
        <f>AVERAGE(DB3:DB9)</f>
        <v>35.857142857142854</v>
      </c>
      <c r="DC11" s="31">
        <f>AVERAGE(DC3:DC9)</f>
        <v>96.285714285714292</v>
      </c>
      <c r="DD11" s="31">
        <f>AVERAGE(DD3:DD9)</f>
        <v>97.428571428571431</v>
      </c>
      <c r="DE11" s="31">
        <f>AVERAGE(DE3:DE9)</f>
        <v>49.142857142857146</v>
      </c>
      <c r="DF11" s="31">
        <f>AVERAGE(DF3:DF9)</f>
        <v>34.285714285714285</v>
      </c>
      <c r="DG11" s="31">
        <f>AVERAGE(DG3:DG9)</f>
        <v>239</v>
      </c>
      <c r="DH11" s="31">
        <f>AVERAGE(DH3:DH9)</f>
        <v>26.857142857142858</v>
      </c>
      <c r="DI11" s="31">
        <f>AVERAGE(DI3:DI9)</f>
        <v>13.285714285714286</v>
      </c>
      <c r="DJ11" s="31">
        <f>AVERAGE(DJ3:DJ9)</f>
        <v>58.428571428571431</v>
      </c>
      <c r="DK11" s="31">
        <f>AVERAGE(DK3:DK9)</f>
        <v>69.857142857142861</v>
      </c>
      <c r="DL11" s="31">
        <f>AVERAGE(DL3:DL9)</f>
        <v>90.428571428571431</v>
      </c>
      <c r="DM11" s="31">
        <f>AVERAGE(DM3:DM9)</f>
        <v>64</v>
      </c>
      <c r="DN11" s="31">
        <f>AVERAGE(DN3:DN9)</f>
        <v>33.714285714285715</v>
      </c>
      <c r="DO11" s="31">
        <f>AVERAGE(DO3:DO9)</f>
        <v>97.714285714285708</v>
      </c>
      <c r="DP11" s="31">
        <f>AVERAGE(DP3:DP9)</f>
        <v>92.571428571428569</v>
      </c>
      <c r="DQ11" s="31">
        <f>AVERAGE(DQ3:DQ9)</f>
        <v>48.857142857142854</v>
      </c>
      <c r="DR11" s="31">
        <f>AVERAGE(DR3:DR9)</f>
        <v>34.571428571428569</v>
      </c>
      <c r="DS11" s="31">
        <f>AVERAGE(DS3:DS9)</f>
        <v>201.71428571428572</v>
      </c>
      <c r="DT11" s="31">
        <f>AVERAGE(DT3:DT9)</f>
        <v>31.571428571428573</v>
      </c>
      <c r="DU11" s="31">
        <f>AVERAGE(DU3:DU9)</f>
        <v>13.571428571428571</v>
      </c>
      <c r="DV11" s="31">
        <f>AVERAGE(DV3:DV9)</f>
        <v>61.428571428571431</v>
      </c>
      <c r="DW11" s="31">
        <f>AVERAGE(DW3:DW9)</f>
        <v>79.142857142857139</v>
      </c>
      <c r="DX11" s="31">
        <f>AVERAGE(DX3:DX9)</f>
        <v>88.571428571428569</v>
      </c>
      <c r="DY11" s="31">
        <f>AVERAGE(DY3:DY9)</f>
        <v>61</v>
      </c>
      <c r="DZ11" s="31">
        <f>AVERAGE(DZ3:DZ9)</f>
        <v>42</v>
      </c>
      <c r="EA11" s="31">
        <f>AVERAGE(EA3:EA9)</f>
        <v>98.2</v>
      </c>
      <c r="EB11" s="31">
        <f>AVERAGE(EB3:EB9)</f>
        <v>97.142857142857139</v>
      </c>
      <c r="EC11" s="31">
        <f>AVERAGE(EC3:EC9)</f>
        <v>45.142857142857146</v>
      </c>
      <c r="ED11" s="31">
        <f>AVERAGE(ED3:ED9)</f>
        <v>33.428571428571431</v>
      </c>
      <c r="EE11" s="31">
        <f>AVERAGE(EE3:EE9)</f>
        <v>220.85714285714286</v>
      </c>
      <c r="EF11" s="31">
        <f>AVERAGE(EF3:EF9)</f>
        <v>26.857142857142858</v>
      </c>
      <c r="EG11" s="31">
        <f>AVERAGE(EG3:EG9)</f>
        <v>12.142857142857142</v>
      </c>
      <c r="EH11" s="31">
        <f>AVERAGE(EH3:EH9)</f>
        <v>61.285714285714285</v>
      </c>
      <c r="EI11" s="31">
        <f>AVERAGE(EI3:EI9)</f>
        <v>67.428571428571431</v>
      </c>
      <c r="EJ11" s="31">
        <f>AVERAGE(EJ3:EJ9)</f>
        <v>75.333333333333329</v>
      </c>
      <c r="EK11" s="31">
        <f>AVERAGE(EK3:EK9)</f>
        <v>70</v>
      </c>
      <c r="EL11" s="31">
        <f>AVERAGE(EL3:EL9)</f>
        <v>40.857142857142854</v>
      </c>
      <c r="EM11" s="31">
        <f>AVERAGE(EM3:EM9)</f>
        <v>96.5</v>
      </c>
      <c r="EN11" s="31">
        <f>AVERAGE(EN3:EN9)</f>
        <v>95.571428571428569</v>
      </c>
      <c r="EO11" s="31">
        <f>AVERAGE(EO3:EO9)</f>
        <v>44.142857142857146</v>
      </c>
      <c r="EP11" s="31">
        <f>AVERAGE(EP3:EP9)</f>
        <v>31</v>
      </c>
      <c r="EQ11" s="31">
        <f>AVERAGE(EQ3:EQ9)</f>
        <v>174.66666666666666</v>
      </c>
      <c r="ER11" s="31">
        <f>AVERAGE(ER3:ER9)</f>
        <v>26.666666666666668</v>
      </c>
      <c r="ES11" s="31">
        <f>AVERAGE(ES3:ES9)</f>
        <v>8.1666666666666661</v>
      </c>
      <c r="ET11" s="31">
        <f>AVERAGE(ET3:ET9)</f>
        <v>59.5</v>
      </c>
      <c r="EU11" s="31">
        <f>AVERAGE(EU3:EU9)</f>
        <v>81.833333333333329</v>
      </c>
      <c r="EV11" s="31">
        <f>AVERAGE(EV3:EV9)</f>
        <v>72</v>
      </c>
      <c r="EW11" s="31">
        <f>AVERAGE(EW3:EW9)</f>
        <v>46.6</v>
      </c>
      <c r="EX11" s="31">
        <f>AVERAGE(EX3:EX9)</f>
        <v>56.8</v>
      </c>
      <c r="EY11" s="31">
        <f>AVERAGE(EY3:EY9)</f>
        <v>94.8</v>
      </c>
      <c r="EZ11" s="31">
        <f>AVERAGE(EZ3:EZ9)</f>
        <v>91.666666666666671</v>
      </c>
      <c r="FA11" s="31">
        <f>AVERAGE(FA3:FA9)</f>
        <v>44</v>
      </c>
      <c r="FB11" s="31">
        <f>AVERAGE(FB3:FB9)</f>
        <v>36.5</v>
      </c>
      <c r="FC11" s="18">
        <f t="shared" ref="FC11:FM11" si="8">AVERAGE(P11,AB11,AN11,AZ11,BL11,BX11,CJ11,CV11,DH11,DT11,EF11,ER11)</f>
        <v>23.531746031746035</v>
      </c>
      <c r="FD11" s="18">
        <f t="shared" si="8"/>
        <v>11.240079365079366</v>
      </c>
      <c r="FE11" s="18">
        <f t="shared" si="8"/>
        <v>58.934523809523817</v>
      </c>
      <c r="FF11" s="18">
        <f t="shared" si="8"/>
        <v>74.795634920634924</v>
      </c>
      <c r="FG11" s="18">
        <f t="shared" si="8"/>
        <v>77.613095238095241</v>
      </c>
      <c r="FH11" s="18">
        <f t="shared" si="8"/>
        <v>63.411111111111104</v>
      </c>
      <c r="FI11" s="18">
        <f t="shared" si="8"/>
        <v>35.980158730158728</v>
      </c>
      <c r="FJ11" s="18">
        <f t="shared" si="8"/>
        <v>95.780555555555551</v>
      </c>
      <c r="FK11" s="18">
        <f t="shared" si="8"/>
        <v>93.424603174603192</v>
      </c>
      <c r="FL11" s="18">
        <f t="shared" si="8"/>
        <v>41.630952380952387</v>
      </c>
      <c r="FM11" s="18">
        <f t="shared" si="8"/>
        <v>33.851190476190474</v>
      </c>
      <c r="FN11" s="31">
        <f>AVERAGE(FN3:FN9)</f>
        <v>149.16666666666666</v>
      </c>
      <c r="FO11" s="31">
        <f>AVERAGE(FO3:FO9)</f>
        <v>20.666666666666668</v>
      </c>
      <c r="FP11" s="31">
        <f>AVERAGE(FP3:FP9)</f>
        <v>8</v>
      </c>
      <c r="FQ11" s="31">
        <f>AVERAGE(FQ3:FQ9)</f>
        <v>61.833333333333336</v>
      </c>
      <c r="FR11" s="31">
        <f>AVERAGE(FR3:FR9)</f>
        <v>60.833333333333336</v>
      </c>
      <c r="FS11" s="31">
        <f>AVERAGE(FS3:FS9)</f>
        <v>80</v>
      </c>
      <c r="FT11" s="31">
        <f>AVERAGE(FT3:FT9)</f>
        <v>61</v>
      </c>
      <c r="FU11" s="31">
        <f>AVERAGE(FU3:FU9)</f>
        <v>47.8</v>
      </c>
      <c r="FV11" s="31">
        <f>AVERAGE(FV3:FV9)</f>
        <v>97.2</v>
      </c>
      <c r="FW11" s="31">
        <f>AVERAGE(FW3:FW9)</f>
        <v>89.2</v>
      </c>
      <c r="FX11" s="31">
        <f>AVERAGE(FX3:FX9)</f>
        <v>50.333333333333336</v>
      </c>
      <c r="FY11" s="31">
        <f>AVERAGE(FY3:FY9)</f>
        <v>34.333333333333336</v>
      </c>
      <c r="FZ11" s="31">
        <f>AVERAGE(FZ3:FZ9)</f>
        <v>91.166666666666671</v>
      </c>
      <c r="GA11" s="31">
        <f>AVERAGE(GA3:GA9)</f>
        <v>27.5</v>
      </c>
      <c r="GB11" s="31">
        <f>AVERAGE(GB3:GB9)</f>
        <v>22.166666666666668</v>
      </c>
      <c r="GC11" s="31">
        <f>AVERAGE(GC3:GC9)</f>
        <v>41.166666666666664</v>
      </c>
      <c r="GD11" s="31">
        <f>AVERAGE(GD3:GD9)</f>
        <v>68.400000000000006</v>
      </c>
      <c r="GE11" s="31">
        <f>AVERAGE(GE3:GE9)</f>
        <v>61.2</v>
      </c>
      <c r="GF11" s="31">
        <f>AVERAGE(GF3:GF9)</f>
        <v>83.333333333333329</v>
      </c>
      <c r="GG11" s="31">
        <f>AVERAGE(GG3:GG9)</f>
        <v>39.4</v>
      </c>
      <c r="GH11" s="31">
        <f>AVERAGE(GH3:GH9)</f>
        <v>67.75</v>
      </c>
      <c r="GI11" s="31">
        <f>AVERAGE(GI3:GI9)</f>
        <v>97</v>
      </c>
      <c r="GJ11" s="31">
        <f>AVERAGE(GJ3:GJ9)</f>
        <v>34.5</v>
      </c>
      <c r="GK11" s="31">
        <f>AVERAGE(GK3:GK9)</f>
        <v>24.166666666666668</v>
      </c>
    </row>
    <row r="12" spans="1:193" ht="14.25" customHeight="1">
      <c r="B12" s="30" t="s">
        <v>44</v>
      </c>
      <c r="C12" s="31">
        <f>AVERAGE(C3,C4,C5,C6,C8,C9)</f>
        <v>250.16666666666666</v>
      </c>
      <c r="D12" s="32">
        <f>AVERAGE(D3,D4,D5,D6,D8,D9)</f>
        <v>21.333333333333332</v>
      </c>
      <c r="E12" s="32">
        <f>AVERAGE(E3,E4,E5,E6,E8,E9)</f>
        <v>7.666666666666667</v>
      </c>
      <c r="F12" s="32">
        <f>AVERAGE(F3,F4,F5,F6,F8,F9)</f>
        <v>63</v>
      </c>
      <c r="G12" s="32">
        <f>AVERAGE(G3,G4,G5,G6,G8,G9)</f>
        <v>68.5</v>
      </c>
      <c r="H12" s="32">
        <f>AVERAGE(H3,H4,H5,H6,H8,H9)</f>
        <v>64</v>
      </c>
      <c r="I12" s="32">
        <f>AVERAGE(I3,I4,I5,I6,I8,I9)</f>
        <v>47.5</v>
      </c>
      <c r="J12" s="32">
        <f>AVERAGE(J3,J4,J5,J6,J8,J9)</f>
        <v>37.166666666666664</v>
      </c>
      <c r="K12" s="32">
        <f>AVERAGE(K3,K4,K5,K6,K8,K9)</f>
        <v>91.833333333333329</v>
      </c>
      <c r="L12" s="32">
        <f>AVERAGE(L3,L4,L5,L6,L8,L9)</f>
        <v>93.666666666666671</v>
      </c>
      <c r="M12" s="32">
        <f>AVERAGE(M3,M4,M5,M6,M8,M9)</f>
        <v>39.666666666666664</v>
      </c>
      <c r="N12" s="32">
        <f>AVERAGE(N3,N4,N5,N6,N8,N9)</f>
        <v>28.833333333333332</v>
      </c>
      <c r="O12" s="31">
        <f>AVERAGE(O3,O4,O5,O6,O8,O9)</f>
        <v>231.5</v>
      </c>
      <c r="P12" s="32">
        <f>AVERAGE(P3,P4,P5,P6,P8,P9)</f>
        <v>18</v>
      </c>
      <c r="Q12" s="32">
        <f>AVERAGE(Q3,Q4,Q5,Q6,Q8,Q9)</f>
        <v>9.3333333333333339</v>
      </c>
      <c r="R12" s="32">
        <f>AVERAGE(R3,R4,R5,R6,R8,R9)</f>
        <v>59.5</v>
      </c>
      <c r="S12" s="32">
        <f>AVERAGE(S3,S4,S5,S6,S8,S9)</f>
        <v>77.166666666666671</v>
      </c>
      <c r="T12" s="32">
        <f>AVERAGE(T3,T4,T5,T6,T8,T9)</f>
        <v>71.833333333333329</v>
      </c>
      <c r="U12" s="32">
        <f>AVERAGE(U3,U4,U5,U6,U8,U9)</f>
        <v>49.5</v>
      </c>
      <c r="V12" s="32">
        <f>AVERAGE(V3,V4,V5,V6,V8,V9)</f>
        <v>21.6</v>
      </c>
      <c r="W12" s="32">
        <f>AVERAGE(W3,W4,W5,W6,W8,W9)</f>
        <v>96.2</v>
      </c>
      <c r="X12" s="32">
        <f>AVERAGE(X3,X4,X5,X6,X8,X9)</f>
        <v>94.6</v>
      </c>
      <c r="Y12" s="32">
        <f>AVERAGE(Y3,Y4,Y5,Y6,Y8,Y9)</f>
        <v>28</v>
      </c>
      <c r="Z12" s="32">
        <f>AVERAGE(Z3,Z4,Z5,Z6,Z8,Z9)</f>
        <v>33.5</v>
      </c>
      <c r="AA12" s="31">
        <f>AVERAGE(AA3,AA4,AA5,AA6,AA8,AA9)</f>
        <v>224.33333333333334</v>
      </c>
      <c r="AB12" s="31">
        <f>AVERAGE(AB3,AB4,AB5,AB6,AB8,AB9)</f>
        <v>17.166666666666668</v>
      </c>
      <c r="AC12" s="31">
        <f>AVERAGE(AC3,AC4,AC5,AC6,AC8,AC9)</f>
        <v>9.5</v>
      </c>
      <c r="AD12" s="31">
        <f>AVERAGE(AD3,AD4,AD5,AD6,AD8,AD9)</f>
        <v>54.333333333333336</v>
      </c>
      <c r="AE12" s="31">
        <f>AVERAGE(AE3,AE4,AE5,AE6,AE8,AE9)</f>
        <v>84.833333333333329</v>
      </c>
      <c r="AF12" s="31">
        <f>AVERAGE(AF3,AF4,AF5,AF6,AF8,AF9)</f>
        <v>67.833333333333329</v>
      </c>
      <c r="AG12" s="31">
        <f>AVERAGE(AG3,AG4,AG5,AG6,AG8,AG9)</f>
        <v>78.75</v>
      </c>
      <c r="AH12" s="31">
        <f>AVERAGE(AH3,AH4,AH5,AH6,AH8,AH9)</f>
        <v>45.2</v>
      </c>
      <c r="AI12" s="31">
        <f>AVERAGE(AI3,AI4,AI5,AI6,AI8,AI9)</f>
        <v>84.5</v>
      </c>
      <c r="AJ12" s="31">
        <f>AVERAGE(AJ3,AJ4,AJ5,AJ6,AJ8,AJ9)</f>
        <v>90</v>
      </c>
      <c r="AK12" s="31">
        <f>AVERAGE(AK3,AK4,AK5,AK6,AK8,AK9)</f>
        <v>27.5</v>
      </c>
      <c r="AL12" s="31">
        <f>AVERAGE(AL3,AL4,AL5,AL6,AL8,AL9)</f>
        <v>28.666666666666668</v>
      </c>
      <c r="AM12" s="31">
        <f>AVERAGE(AM3,AM4,AM5,AM6,AM8,AM9)</f>
        <v>236</v>
      </c>
      <c r="AN12" s="31">
        <f>AVERAGE(AN3,AN4,AN5,AN6,AN8,AN9)</f>
        <v>18.5</v>
      </c>
      <c r="AO12" s="31">
        <f>AVERAGE(AO3,AO4,AO5,AO6,AO8,AO9)</f>
        <v>11.166666666666666</v>
      </c>
      <c r="AP12" s="31">
        <f>AVERAGE(AP3,AP4,AP5,AP6,AP8,AP9)</f>
        <v>57.666666666666664</v>
      </c>
      <c r="AQ12" s="31">
        <f>AVERAGE(AQ3,AQ4,AQ5,AQ6,AQ8,AQ9)</f>
        <v>85.833333333333329</v>
      </c>
      <c r="AR12" s="31">
        <f>AVERAGE(AR3,AR4,AR5,AR6,AR8,AR9)</f>
        <v>72.2</v>
      </c>
      <c r="AS12" s="31">
        <f>AVERAGE(AS3,AS4,AS5,AS6,AS8,AS9)</f>
        <v>80</v>
      </c>
      <c r="AT12" s="31">
        <f>AVERAGE(AT3,AT4,AT5,AT6,AT8,AT9)</f>
        <v>24.25</v>
      </c>
      <c r="AU12" s="31">
        <f>AVERAGE(AU3,AU4,AU5,AU6,AU8,AU9)</f>
        <v>98.25</v>
      </c>
      <c r="AV12" s="31">
        <f>AVERAGE(AV3,AV4,AV5,AV6,AV8,AV9)</f>
        <v>97.166666666666671</v>
      </c>
      <c r="AW12" s="31">
        <f>AVERAGE(AW3,AW4,AW5,AW6,AW8,AW9)</f>
        <v>32</v>
      </c>
      <c r="AX12" s="31">
        <f>AVERAGE(AX3,AX4,AX5,AX6,AX8,AX9)</f>
        <v>35.166666666666664</v>
      </c>
      <c r="AY12" s="31">
        <f>AVERAGE(AY3,AY4,AY5,AY6,AY8,AY9)</f>
        <v>230.83333333333334</v>
      </c>
      <c r="AZ12" s="31">
        <f>AVERAGE(AZ3,AZ4,AZ5,AZ6,AZ8,AZ9)</f>
        <v>14.166666666666666</v>
      </c>
      <c r="BA12" s="31">
        <f>AVERAGE(BA3,BA4,BA5,BA6,BA8,BA9)</f>
        <v>9.6666666666666661</v>
      </c>
      <c r="BB12" s="31">
        <f>AVERAGE(BB3,BB4,BB5,BB6,BB8,BB9)</f>
        <v>54.5</v>
      </c>
      <c r="BC12" s="31">
        <f>AVERAGE(BC3,BC4,BC5,BC6,BC8,BC9)</f>
        <v>80.5</v>
      </c>
      <c r="BD12" s="31">
        <f>AVERAGE(BD3,BD4,BD5,BD6,BD8,BD9)</f>
        <v>78.333333333333329</v>
      </c>
      <c r="BE12" s="31">
        <f>AVERAGE(BE3,BE4,BE5,BE6,BE8,BE9)</f>
        <v>85.5</v>
      </c>
      <c r="BF12" s="31">
        <f>AVERAGE(BF3,BF4,BF5,BF6,BF8,BF9)</f>
        <v>18.8</v>
      </c>
      <c r="BG12" s="31">
        <f>AVERAGE(BG3,BG4,BG5,BG6,BG8,BG9)</f>
        <v>98</v>
      </c>
      <c r="BH12" s="31">
        <f>AVERAGE(BH3,BH4,BH5,BH6,BH8,BH9)</f>
        <v>97.2</v>
      </c>
      <c r="BI12" s="31">
        <f>AVERAGE(BI3,BI4,BI5,BI6,BI8,BI9)</f>
        <v>32</v>
      </c>
      <c r="BJ12" s="31">
        <f>AVERAGE(BJ3,BJ4,BJ5,BJ6,BJ8,BJ9)</f>
        <v>40.166666666666664</v>
      </c>
      <c r="BK12" s="31">
        <f>AVERAGE(BK3,BK4,BK5,BK6,BK8,BK9)</f>
        <v>235.16666666666666</v>
      </c>
      <c r="BL12" s="31">
        <f>AVERAGE(BL3,BL4,BL5,BL6,BL8,BL9)</f>
        <v>22.333333333333332</v>
      </c>
      <c r="BM12" s="31">
        <f>AVERAGE(BM3,BM4,BM5,BM6,BM8,BM9)</f>
        <v>13.833333333333334</v>
      </c>
      <c r="BN12" s="31">
        <f>AVERAGE(BN3,BN4,BN5,BN6,BN8,BN9)</f>
        <v>57.166666666666664</v>
      </c>
      <c r="BO12" s="31">
        <f>AVERAGE(BO3,BO4,BO5,BO6,BO8,BO9)</f>
        <v>79</v>
      </c>
      <c r="BP12" s="31">
        <f>AVERAGE(BP3,BP4,BP5,BP6,BP8,BP9)</f>
        <v>81</v>
      </c>
      <c r="BQ12" s="31">
        <f>AVERAGE(BQ3,BQ4,BQ5,BQ6,BQ8,BQ9)</f>
        <v>45.4</v>
      </c>
      <c r="BR12" s="31">
        <f>AVERAGE(BR3,BR4,BR5,BR6,BR8,BR9)</f>
        <v>28</v>
      </c>
      <c r="BS12" s="31">
        <f>AVERAGE(BS3,BS4,BS5,BS6,BS8,BS9)</f>
        <v>99</v>
      </c>
      <c r="BT12" s="31">
        <f>AVERAGE(BT3,BT4,BT5,BT6,BT8,BT9)</f>
        <v>79.833333333333329</v>
      </c>
      <c r="BU12" s="31">
        <f>AVERAGE(BU3,BU4,BU5,BU6,BU8,BU9)</f>
        <v>45.166666666666664</v>
      </c>
      <c r="BV12" s="31">
        <f>AVERAGE(BV3,BV4,BV5,BV6,BV8,BV9)</f>
        <v>39.333333333333336</v>
      </c>
      <c r="BW12" s="31">
        <f>AVERAGE(BW3,BW4,BW5,BW6,BW8,BW9)</f>
        <v>243.5</v>
      </c>
      <c r="BX12" s="31">
        <f>AVERAGE(BX3,BX4,BX5,BX6,BX8,BX9)</f>
        <v>23.5</v>
      </c>
      <c r="BY12" s="31">
        <f>AVERAGE(BY3,BY4,BY5,BY6,BY8,BY9)</f>
        <v>11.666666666666666</v>
      </c>
      <c r="BZ12" s="31">
        <f>AVERAGE(BZ3,BZ4,BZ5,BZ6,BZ8,BZ9)</f>
        <v>55.666666666666664</v>
      </c>
      <c r="CA12" s="31">
        <f>AVERAGE(CA3,CA4,CA5,CA6,CA8,CA9)</f>
        <v>78</v>
      </c>
      <c r="CB12" s="31">
        <f>AVERAGE(CB3,CB4,CB5,CB6,CB8,CB9)</f>
        <v>76.833333333333329</v>
      </c>
      <c r="CC12" s="31">
        <f>AVERAGE(CC3,CC4,CC5,CC6,CC8,CC9)</f>
        <v>63.5</v>
      </c>
      <c r="CD12" s="31">
        <f>AVERAGE(CD3,CD4,CD5,CD6,CD8,CD9)</f>
        <v>26.833333333333332</v>
      </c>
      <c r="CE12" s="31">
        <f>AVERAGE(CE3,CE4,CE5,CE6,CE8,CE9)</f>
        <v>97.6</v>
      </c>
      <c r="CF12" s="31">
        <f>AVERAGE(CF3,CF4,CF5,CF6,CF8,CF9)</f>
        <v>92.666666666666671</v>
      </c>
      <c r="CG12" s="31">
        <f>AVERAGE(CG3,CG4,CG5,CG6,CG8,CG9)</f>
        <v>53.333333333333336</v>
      </c>
      <c r="CH12" s="31">
        <f>AVERAGE(CH3,CH4,CH5,CH6,CH8,CH9)</f>
        <v>40.833333333333336</v>
      </c>
      <c r="CI12" s="31">
        <f>AVERAGE(CI3,CI4,CI5,CI6,CI8,CI9)</f>
        <v>241</v>
      </c>
      <c r="CJ12" s="31">
        <f>AVERAGE(CJ3,CJ4,CJ5,CJ6,CJ8,CJ9)</f>
        <v>20</v>
      </c>
      <c r="CK12" s="31">
        <f>AVERAGE(CK3,CK4,CK5,CK6,CK8,CK9)</f>
        <v>13</v>
      </c>
      <c r="CL12" s="31">
        <f>AVERAGE(CL3,CL4,CL5,CL6,CL8,CL9)</f>
        <v>56</v>
      </c>
      <c r="CM12" s="31">
        <f>AVERAGE(CM3,CM4,CM5,CM6,CM8,CM9)</f>
        <v>72</v>
      </c>
      <c r="CN12" s="31">
        <f>AVERAGE(CN3,CN4,CN5,CN6,CN8,CN9)</f>
        <v>74.599999999999994</v>
      </c>
      <c r="CO12" s="31">
        <f>AVERAGE(CO3,CO4,CO5,CO6,CO8,CO9)</f>
        <v>82.333333333333329</v>
      </c>
      <c r="CP12" s="31">
        <f>AVERAGE(CP3,CP4,CP5,CP6,CP8,CP9)</f>
        <v>32.666666666666664</v>
      </c>
      <c r="CQ12" s="31">
        <f>AVERAGE(CQ3,CQ4,CQ5,CQ6,CQ8,CQ9)</f>
        <v>99.333333333333329</v>
      </c>
      <c r="CR12" s="31">
        <f>AVERAGE(CR3,CR4,CR5,CR6,CR8,CR9)</f>
        <v>95.333333333333329</v>
      </c>
      <c r="CS12" s="31">
        <f>AVERAGE(CS3,CS4,CS5,CS6,CS8,CS9)</f>
        <v>54.5</v>
      </c>
      <c r="CT12" s="31">
        <f>AVERAGE(CT3,CT4,CT5,CT6,CT8,CT9)</f>
        <v>39.666666666666664</v>
      </c>
      <c r="CU12" s="31">
        <f>AVERAGE(CU3,CU4,CU5,CU6,CU8,CU9)</f>
        <v>276.83333333333331</v>
      </c>
      <c r="CV12" s="31">
        <f>AVERAGE(CV3,CV4,CV5,CV6,CV8,CV9)</f>
        <v>22.166666666666668</v>
      </c>
      <c r="CW12" s="31">
        <f>AVERAGE(CW3,CW4,CW5,CW6,CW8,CW9)</f>
        <v>12.333333333333334</v>
      </c>
      <c r="CX12" s="31">
        <f>AVERAGE(CX3,CX4,CX5,CX6,CX8,CX9)</f>
        <v>55</v>
      </c>
      <c r="CY12" s="31">
        <f>AVERAGE(CY3,CY4,CY5,CY6,CY8,CY9)</f>
        <v>76.333333333333329</v>
      </c>
      <c r="CZ12" s="31">
        <f>AVERAGE(CZ3,CZ4,CZ5,CZ6,CZ8,CZ9)</f>
        <v>78</v>
      </c>
      <c r="DA12" s="31">
        <f>AVERAGE(DA3,DA4,DA5,DA6,DA8,DA9)</f>
        <v>64.166666666666671</v>
      </c>
      <c r="DB12" s="31">
        <f>AVERAGE(DB3,DB4,DB5,DB6,DB8,DB9)</f>
        <v>32.5</v>
      </c>
      <c r="DC12" s="31">
        <f>AVERAGE(DC3,DC4,DC5,DC6,DC8,DC9)</f>
        <v>98</v>
      </c>
      <c r="DD12" s="31">
        <f>AVERAGE(DD3,DD4,DD5,DD6,DD8,DD9)</f>
        <v>97.833333333333329</v>
      </c>
      <c r="DE12" s="31">
        <f>AVERAGE(DE3,DE4,DE5,DE6,DE8,DE9)</f>
        <v>49.5</v>
      </c>
      <c r="DF12" s="31">
        <f>AVERAGE(DF3,DF4,DF5,DF6,DF8,DF9)</f>
        <v>37.166666666666664</v>
      </c>
      <c r="DG12" s="31">
        <f>AVERAGE(DG3,DG4,DG5,DG6,DG8,DG9)</f>
        <v>253.5</v>
      </c>
      <c r="DH12" s="31">
        <f>AVERAGE(DH3,DH4,DH5,DH6,DH8,DH9)</f>
        <v>25</v>
      </c>
      <c r="DI12" s="31">
        <f>AVERAGE(DI3,DI4,DI5,DI6,DI8,DI9)</f>
        <v>12.833333333333334</v>
      </c>
      <c r="DJ12" s="31">
        <f>AVERAGE(DJ3,DJ4,DJ5,DJ6,DJ8,DJ9)</f>
        <v>58.333333333333336</v>
      </c>
      <c r="DK12" s="31">
        <f>AVERAGE(DK3,DK4,DK5,DK6,DK8,DK9)</f>
        <v>72</v>
      </c>
      <c r="DL12" s="31">
        <f>AVERAGE(DL3,DL4,DL5,DL6,DL8,DL9)</f>
        <v>88.833333333333329</v>
      </c>
      <c r="DM12" s="31">
        <f>AVERAGE(DM3,DM4,DM5,DM6,DM8,DM9)</f>
        <v>56.8</v>
      </c>
      <c r="DN12" s="31">
        <f>AVERAGE(DN3,DN4,DN5,DN6,DN8,DN9)</f>
        <v>27.333333333333332</v>
      </c>
      <c r="DO12" s="31">
        <f>AVERAGE(DO3,DO4,DO5,DO6,DO8,DO9)</f>
        <v>98.833333333333329</v>
      </c>
      <c r="DP12" s="31">
        <f>AVERAGE(DP3,DP4,DP5,DP6,DP8,DP9)</f>
        <v>91.833333333333329</v>
      </c>
      <c r="DQ12" s="31">
        <f>AVERAGE(DQ3,DQ4,DQ5,DQ6,DQ8,DQ9)</f>
        <v>48.833333333333336</v>
      </c>
      <c r="DR12" s="31">
        <f>AVERAGE(DR3,DR4,DR5,DR6,DR8,DR9)</f>
        <v>36.833333333333336</v>
      </c>
      <c r="DS12" s="31">
        <f>AVERAGE(DS3,DS4,DS5,DS6,DS8,DS9)</f>
        <v>215.5</v>
      </c>
      <c r="DT12" s="31">
        <f>AVERAGE(DT3,DT4,DT5,DT6,DT8,DT9)</f>
        <v>31.5</v>
      </c>
      <c r="DU12" s="31">
        <f>AVERAGE(DU3,DU4,DU5,DU6,DU8,DU9)</f>
        <v>13.833333333333334</v>
      </c>
      <c r="DV12" s="31">
        <f>AVERAGE(DV3,DV4,DV5,DV6,DV8,DV9)</f>
        <v>60.666666666666664</v>
      </c>
      <c r="DW12" s="31">
        <f>AVERAGE(DW3,DW4,DW5,DW6,DW8,DW9)</f>
        <v>85.5</v>
      </c>
      <c r="DX12" s="31">
        <f>AVERAGE(DX3,DX4,DX5,DX6,DX8,DX9)</f>
        <v>86.666666666666671</v>
      </c>
      <c r="DY12" s="31">
        <f>AVERAGE(DY3,DY4,DY5,DY6,DY8,DY9)</f>
        <v>63.75</v>
      </c>
      <c r="DZ12" s="31">
        <f>AVERAGE(DZ3,DZ4,DZ5,DZ6,DZ8,DZ9)</f>
        <v>29.25</v>
      </c>
      <c r="EA12" s="31">
        <f>AVERAGE(EA3,EA4,EA5,EA6,EA8,EA9)</f>
        <v>99.75</v>
      </c>
      <c r="EB12" s="31">
        <f>AVERAGE(EB3,EB4,EB5,EB6,EB8,EB9)</f>
        <v>96.666666666666671</v>
      </c>
      <c r="EC12" s="31">
        <f>AVERAGE(EC3,EC4,EC5,EC6,EC8,EC9)</f>
        <v>45.666666666666664</v>
      </c>
      <c r="ED12" s="31">
        <f>AVERAGE(ED3,ED4,ED5,ED6,ED8,ED9)</f>
        <v>36.666666666666664</v>
      </c>
      <c r="EE12" s="31">
        <f>AVERAGE(EE3,EE4,EE5,EE6,EE8,EE9)</f>
        <v>231.16666666666666</v>
      </c>
      <c r="EF12" s="31">
        <f>AVERAGE(EF3,EF4,EF5,EF6,EF8,EF9)</f>
        <v>23.166666666666668</v>
      </c>
      <c r="EG12" s="31">
        <f>AVERAGE(EG3,EG4,EG5,EG6,EG8,EG9)</f>
        <v>12</v>
      </c>
      <c r="EH12" s="31">
        <f>AVERAGE(EH3,EH4,EH5,EH6,EH8,EH9)</f>
        <v>59.166666666666664</v>
      </c>
      <c r="EI12" s="31">
        <f>AVERAGE(EI3,EI4,EI5,EI6,EI8,EI9)</f>
        <v>73.666666666666671</v>
      </c>
      <c r="EJ12" s="31">
        <f>AVERAGE(EJ3,EJ4,EJ5,EJ6,EJ8,EJ9)</f>
        <v>72.8</v>
      </c>
      <c r="EK12" s="31">
        <f>AVERAGE(EK3,EK4,EK5,EK6,EK8,EK9)</f>
        <v>62.5</v>
      </c>
      <c r="EL12" s="31">
        <f>AVERAGE(EL3,EL4,EL5,EL6,EL8,EL9)</f>
        <v>31.833333333333332</v>
      </c>
      <c r="EM12" s="31">
        <f>AVERAGE(EM3,EM4,EM5,EM6,EM8,EM9)</f>
        <v>97.2</v>
      </c>
      <c r="EN12" s="31">
        <f>AVERAGE(EN3,EN4,EN5,EN6,EN8,EN9)</f>
        <v>95.333333333333329</v>
      </c>
      <c r="EO12" s="31">
        <f>AVERAGE(EO3,EO4,EO5,EO6,EO8,EO9)</f>
        <v>43.166666666666664</v>
      </c>
      <c r="EP12" s="31">
        <f>AVERAGE(EP3,EP4,EP5,EP6,EP8,EP9)</f>
        <v>33.333333333333336</v>
      </c>
      <c r="EQ12" s="31">
        <f>AVERAGE(EQ3,EQ4,EQ5,EQ6,EQ8,EQ9)</f>
        <v>184.6</v>
      </c>
      <c r="ER12" s="31">
        <f>AVERAGE(ER3,ER4,ER5,ER6,ER8,ER9)</f>
        <v>24.6</v>
      </c>
      <c r="ES12" s="31">
        <f>AVERAGE(ES3,ES4,ES5,ES6,ES8,ES9)</f>
        <v>7.8</v>
      </c>
      <c r="ET12" s="31">
        <f>AVERAGE(ET3,ET4,ET5,ET6,ET8,ET9)</f>
        <v>56.6</v>
      </c>
      <c r="EU12" s="31">
        <f>AVERAGE(EU3,EU4,EU5,EU6,EU8,EU9)</f>
        <v>87</v>
      </c>
      <c r="EV12" s="31">
        <f>AVERAGE(EV3,EV4,EV5,EV6,EV8,EV9)</f>
        <v>74.8</v>
      </c>
      <c r="EW12" s="31">
        <f>AVERAGE(EW3,EW4,EW5,EW6,EW8,EW9)</f>
        <v>58.25</v>
      </c>
      <c r="EX12" s="31">
        <f>AVERAGE(EX3,EX4,EX5,EX6,EX8,EX9)</f>
        <v>48</v>
      </c>
      <c r="EY12" s="31">
        <f>AVERAGE(EY3,EY4,EY5,EY6,EY8,EY9)</f>
        <v>95.75</v>
      </c>
      <c r="EZ12" s="31">
        <f>AVERAGE(EZ3,EZ4,EZ5,EZ6,EZ8,EZ9)</f>
        <v>90</v>
      </c>
      <c r="FA12" s="31">
        <f>AVERAGE(FA3,FA4,FA5,FA6,FA8,FA9)</f>
        <v>44.2</v>
      </c>
      <c r="FB12" s="31">
        <f>AVERAGE(FB3,FB4,FB5,FB6,FB8,FB9)</f>
        <v>38.200000000000003</v>
      </c>
      <c r="FC12" s="18">
        <f t="shared" ref="FC12:FM12" si="9">AVERAGE(P12,AB12,AN12,AZ12,BL12,BX12,CJ12,CV12,DH12,DT12,EF12,ER12)</f>
        <v>21.675000000000001</v>
      </c>
      <c r="FD12" s="18">
        <f t="shared" si="9"/>
        <v>11.41388888888889</v>
      </c>
      <c r="FE12" s="18">
        <f t="shared" si="9"/>
        <v>57.050000000000004</v>
      </c>
      <c r="FF12" s="18">
        <f t="shared" si="9"/>
        <v>79.319444444444443</v>
      </c>
      <c r="FG12" s="18">
        <f t="shared" si="9"/>
        <v>76.977777777777774</v>
      </c>
      <c r="FH12" s="18">
        <f t="shared" si="9"/>
        <v>65.870833333333323</v>
      </c>
      <c r="FI12" s="18">
        <f t="shared" si="9"/>
        <v>30.522222222222222</v>
      </c>
      <c r="FJ12" s="18">
        <f t="shared" si="9"/>
        <v>96.868055555555557</v>
      </c>
      <c r="FK12" s="18">
        <f t="shared" si="9"/>
        <v>93.205555555555563</v>
      </c>
      <c r="FL12" s="18">
        <f t="shared" si="9"/>
        <v>41.988888888888887</v>
      </c>
      <c r="FM12" s="18">
        <f t="shared" si="9"/>
        <v>36.62777777777778</v>
      </c>
      <c r="FN12" s="31">
        <f>AVERAGE(FN3,FN4,FN5,FN6,FN8,FN9)</f>
        <v>151.4</v>
      </c>
      <c r="FO12" s="31">
        <f>AVERAGE(FO3,FO4,FO5,FO6,FO8,FO9)</f>
        <v>18.2</v>
      </c>
      <c r="FP12" s="31">
        <f>AVERAGE(FP3,FP4,FP5,FP6,FP8,FP9)</f>
        <v>6.8</v>
      </c>
      <c r="FQ12" s="31">
        <f>AVERAGE(FQ3,FQ4,FQ5,FQ6,FQ8,FQ9)</f>
        <v>61.2</v>
      </c>
      <c r="FR12" s="31">
        <f>AVERAGE(FR3,FR4,FR5,FR6,FR8,FR9)</f>
        <v>63.2</v>
      </c>
      <c r="FS12" s="31">
        <f>AVERAGE(FS3,FS4,FS5,FS6,FS8,FS9)</f>
        <v>78.25</v>
      </c>
      <c r="FT12" s="31">
        <f>AVERAGE(FT3,FT4,FT5,FT6,FT8,FT9)</f>
        <v>41.5</v>
      </c>
      <c r="FU12" s="31">
        <f>AVERAGE(FU3,FU4,FU5,FU6,FU8,FU9)</f>
        <v>37.5</v>
      </c>
      <c r="FV12" s="31">
        <f>AVERAGE(FV3,FV4,FV5,FV6,FV8,FV9)</f>
        <v>98.5</v>
      </c>
      <c r="FW12" s="31">
        <f>AVERAGE(FW3,FW4,FW5,FW6,FW8,FW9)</f>
        <v>87</v>
      </c>
      <c r="FX12" s="31">
        <f>AVERAGE(FX3,FX4,FX5,FX6,FX8,FX9)</f>
        <v>51.6</v>
      </c>
      <c r="FY12" s="31">
        <f>AVERAGE(FY3,FY4,FY5,FY6,FY8,FY9)</f>
        <v>40.200000000000003</v>
      </c>
      <c r="FZ12" s="31">
        <f>AVERAGE(FZ3,FZ4,FZ5,FZ6,FZ8,FZ9)</f>
        <v>101.4</v>
      </c>
      <c r="GA12" s="31">
        <f>AVERAGE(GA3,GA4,GA5,GA6,GA8,GA9)</f>
        <v>27</v>
      </c>
      <c r="GB12" s="31">
        <f>AVERAGE(GB3,GB4,GB5,GB6,GB8,GB9)</f>
        <v>23.6</v>
      </c>
      <c r="GC12" s="31">
        <f>AVERAGE(GC3,GC4,GC5,GC6,GC8,GC9)</f>
        <v>37</v>
      </c>
      <c r="GD12" s="31">
        <f>AVERAGE(GD3,GD4,GD5,GD6,GD8,GD9)</f>
        <v>73</v>
      </c>
      <c r="GE12" s="31">
        <f>AVERAGE(GE3,GE4,GE5,GE6,GE8,GE9)</f>
        <v>64</v>
      </c>
      <c r="GF12" s="31">
        <f>AVERAGE(GF3,GF4,GF5,GF6,GF8,GF9)</f>
        <v>100</v>
      </c>
      <c r="GG12" s="31">
        <f>AVERAGE(GG3,GG4,GG5,GG6,GG8,GG9)</f>
        <v>24.25</v>
      </c>
      <c r="GH12" s="31">
        <f>AVERAGE(GH3,GH4,GH5,GH6,GH8,GH9)</f>
        <v>57</v>
      </c>
      <c r="GI12" s="31">
        <f>AVERAGE(GI3,GI4,GI5,GI6,GI8,GI9)</f>
        <v>96.25</v>
      </c>
      <c r="GJ12" s="31">
        <f>AVERAGE(GJ3,GJ4,GJ5,GJ6,GJ8,GJ9)</f>
        <v>32.6</v>
      </c>
      <c r="GK12" s="31">
        <f>AVERAGE(GK3,GK4,GK5,GK6,GK8,GK9)</f>
        <v>29</v>
      </c>
    </row>
    <row r="13" spans="1:193" ht="14.25" customHeight="1">
      <c r="C13" s="17"/>
      <c r="O13" s="24"/>
      <c r="AA13" s="17"/>
      <c r="AM13" s="17"/>
      <c r="AY13" s="17"/>
      <c r="BK13" s="17"/>
      <c r="BW13" s="17"/>
      <c r="CI13" s="17"/>
      <c r="CU13" s="17"/>
      <c r="DG13" s="17"/>
      <c r="DS13" s="17"/>
      <c r="EE13" s="17"/>
      <c r="EQ13" s="17"/>
      <c r="FC13" s="33"/>
      <c r="FD13" s="33"/>
      <c r="FE13" s="33"/>
      <c r="FF13" s="24"/>
      <c r="FG13" s="24"/>
      <c r="FH13" s="24"/>
      <c r="FI13" s="24"/>
      <c r="FJ13" s="24"/>
      <c r="FK13" s="24"/>
      <c r="FL13" s="24"/>
      <c r="FM13" s="24"/>
      <c r="FN13" s="17"/>
      <c r="FZ13" s="17"/>
    </row>
    <row r="14" spans="1:193" ht="14.25" customHeight="1">
      <c r="C14" s="17"/>
      <c r="O14" s="24"/>
      <c r="AA14" s="17"/>
      <c r="AM14" s="17"/>
      <c r="AY14" s="17"/>
      <c r="BK14" s="17"/>
      <c r="BW14" s="17"/>
      <c r="CI14" s="17"/>
      <c r="CU14" s="17"/>
      <c r="DG14" s="17"/>
      <c r="DS14" s="17"/>
      <c r="EE14" s="17"/>
      <c r="EQ14" s="17"/>
      <c r="FC14" s="33"/>
      <c r="FD14" s="33"/>
      <c r="FE14" s="33"/>
      <c r="FF14" s="24"/>
      <c r="FG14" s="24"/>
      <c r="FH14" s="24"/>
      <c r="FI14" s="24"/>
      <c r="FJ14" s="24"/>
      <c r="FK14" s="24"/>
      <c r="FL14" s="24"/>
      <c r="FM14" s="24"/>
      <c r="FN14" s="17"/>
      <c r="FZ14" s="17"/>
    </row>
    <row r="15" spans="1:193" ht="14.25" customHeight="1">
      <c r="C15" s="17"/>
      <c r="D15" s="34">
        <v>45778</v>
      </c>
      <c r="E15" s="34">
        <v>45809</v>
      </c>
      <c r="F15" s="34">
        <v>45839</v>
      </c>
      <c r="G15" s="34">
        <v>45870</v>
      </c>
      <c r="H15" s="34">
        <v>45901</v>
      </c>
      <c r="I15" s="34">
        <v>45931</v>
      </c>
      <c r="J15" s="34">
        <v>45962</v>
      </c>
      <c r="K15" s="34">
        <v>45992</v>
      </c>
      <c r="L15" s="34">
        <v>46023</v>
      </c>
      <c r="M15" s="34">
        <v>46054</v>
      </c>
      <c r="N15" s="34">
        <v>46082</v>
      </c>
      <c r="O15" s="34">
        <v>46113</v>
      </c>
      <c r="P15" s="34">
        <v>46143</v>
      </c>
      <c r="Q15" s="34">
        <v>46174</v>
      </c>
      <c r="AA15" s="17"/>
      <c r="AM15" s="17"/>
      <c r="AY15" s="17"/>
      <c r="BK15" s="17"/>
      <c r="BW15" s="17"/>
      <c r="CI15" s="17"/>
      <c r="CU15" s="17"/>
      <c r="DG15" s="17"/>
      <c r="DS15" s="17"/>
      <c r="EE15" s="17"/>
      <c r="EQ15" s="17"/>
      <c r="FC15" s="33"/>
      <c r="FD15" s="33"/>
      <c r="FE15" s="33"/>
      <c r="FF15" s="24"/>
      <c r="FG15" s="24"/>
      <c r="FH15" s="24"/>
      <c r="FI15" s="24"/>
      <c r="FJ15" s="24"/>
      <c r="FK15" s="24"/>
      <c r="FL15" s="24"/>
      <c r="FM15" s="24"/>
      <c r="FN15" s="17"/>
      <c r="FZ15" s="17"/>
    </row>
    <row r="16" spans="1:193" ht="14.25" customHeight="1">
      <c r="A16" s="35">
        <v>102</v>
      </c>
      <c r="B16" s="35" t="s">
        <v>36</v>
      </c>
      <c r="C16" s="36" t="s">
        <v>18</v>
      </c>
      <c r="D16" s="35">
        <v>461</v>
      </c>
      <c r="E16" s="35">
        <v>473</v>
      </c>
      <c r="F16" s="35">
        <v>478</v>
      </c>
      <c r="G16" s="35">
        <v>445</v>
      </c>
      <c r="H16" s="35">
        <v>510</v>
      </c>
      <c r="I16" s="35">
        <v>513</v>
      </c>
      <c r="J16" s="35">
        <v>532</v>
      </c>
      <c r="K16" s="35">
        <v>682</v>
      </c>
      <c r="L16" s="35">
        <v>670</v>
      </c>
      <c r="M16" s="35">
        <v>533</v>
      </c>
      <c r="N16" s="35">
        <v>505</v>
      </c>
      <c r="O16" s="35">
        <v>135</v>
      </c>
      <c r="P16" s="35">
        <v>4</v>
      </c>
      <c r="Q16" s="35">
        <v>6</v>
      </c>
      <c r="R16" s="35"/>
      <c r="S16" s="35"/>
      <c r="T16" s="35"/>
      <c r="U16" s="35"/>
      <c r="V16" s="35"/>
      <c r="W16" s="35"/>
      <c r="X16" s="35"/>
      <c r="Y16" s="35"/>
      <c r="Z16" s="35"/>
      <c r="AA16" s="36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6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6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6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6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6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6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6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6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6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6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7"/>
      <c r="FD16" s="37"/>
      <c r="FE16" s="37"/>
      <c r="FF16" s="13"/>
      <c r="FG16" s="13"/>
      <c r="FH16" s="13"/>
      <c r="FI16" s="13"/>
      <c r="FJ16" s="13"/>
      <c r="FK16" s="13"/>
      <c r="FL16" s="13"/>
      <c r="FM16" s="13"/>
      <c r="FN16" s="36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6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</row>
    <row r="17" spans="1:193" ht="14.25" customHeight="1">
      <c r="C17" s="1" t="s">
        <v>19</v>
      </c>
      <c r="D17" s="12">
        <v>74</v>
      </c>
      <c r="E17" s="12">
        <v>63</v>
      </c>
      <c r="F17" s="12">
        <v>81</v>
      </c>
      <c r="G17" s="12">
        <v>63</v>
      </c>
      <c r="H17" s="12">
        <v>96</v>
      </c>
      <c r="I17" s="12">
        <v>112</v>
      </c>
      <c r="J17" s="12">
        <v>129</v>
      </c>
      <c r="K17" s="12">
        <v>126</v>
      </c>
      <c r="L17" s="12">
        <v>162</v>
      </c>
      <c r="M17" s="12">
        <v>141</v>
      </c>
      <c r="N17" s="12">
        <v>123</v>
      </c>
      <c r="O17" s="17">
        <v>17</v>
      </c>
      <c r="P17" s="12">
        <v>0</v>
      </c>
      <c r="Q17" s="12">
        <v>0</v>
      </c>
      <c r="AA17" s="17"/>
      <c r="AM17" s="17"/>
      <c r="AY17" s="17"/>
      <c r="BK17" s="17"/>
      <c r="BW17" s="17"/>
      <c r="CI17" s="17"/>
      <c r="CU17" s="17"/>
      <c r="DG17" s="17"/>
      <c r="DS17" s="17"/>
      <c r="EE17" s="17"/>
      <c r="EQ17" s="17"/>
      <c r="FC17" s="33"/>
      <c r="FD17" s="33"/>
      <c r="FE17" s="33"/>
      <c r="FF17" s="24"/>
      <c r="FG17" s="24"/>
      <c r="FH17" s="24"/>
      <c r="FI17" s="24"/>
      <c r="FJ17" s="24"/>
      <c r="FK17" s="24"/>
      <c r="FL17" s="24"/>
      <c r="FM17" s="24"/>
      <c r="FN17" s="17"/>
      <c r="FZ17" s="17"/>
    </row>
    <row r="18" spans="1:193" ht="14.25" customHeight="1">
      <c r="C18" s="1" t="s">
        <v>20</v>
      </c>
      <c r="D18" s="12">
        <v>81</v>
      </c>
      <c r="E18" s="12">
        <v>101</v>
      </c>
      <c r="F18" s="12">
        <v>113</v>
      </c>
      <c r="G18" s="12">
        <v>74</v>
      </c>
      <c r="H18" s="12">
        <v>129</v>
      </c>
      <c r="I18" s="12">
        <v>118</v>
      </c>
      <c r="J18" s="12">
        <v>140</v>
      </c>
      <c r="K18" s="12">
        <v>220</v>
      </c>
      <c r="L18" s="12">
        <v>182</v>
      </c>
      <c r="M18" s="12">
        <v>165</v>
      </c>
      <c r="N18" s="12">
        <v>107</v>
      </c>
      <c r="O18" s="12">
        <v>9</v>
      </c>
      <c r="P18" s="12">
        <v>0</v>
      </c>
      <c r="Q18" s="12">
        <v>0</v>
      </c>
      <c r="AA18" s="17"/>
      <c r="AM18" s="17"/>
      <c r="AY18" s="17"/>
      <c r="BK18" s="17"/>
      <c r="BW18" s="17"/>
      <c r="CI18" s="17"/>
      <c r="CU18" s="17"/>
      <c r="DG18" s="17"/>
      <c r="DS18" s="17"/>
      <c r="EE18" s="17"/>
      <c r="EQ18" s="17"/>
      <c r="FC18" s="33"/>
      <c r="FD18" s="33"/>
      <c r="FE18" s="33"/>
      <c r="FF18" s="24"/>
      <c r="FG18" s="24"/>
      <c r="FH18" s="24"/>
      <c r="FI18" s="24"/>
      <c r="FJ18" s="24"/>
      <c r="FK18" s="24"/>
      <c r="FL18" s="24"/>
      <c r="FM18" s="24"/>
      <c r="FN18" s="17"/>
      <c r="FZ18" s="17"/>
    </row>
    <row r="19" spans="1:193" ht="14.25" customHeight="1">
      <c r="C19" s="1" t="s">
        <v>21</v>
      </c>
      <c r="D19" s="12">
        <v>245</v>
      </c>
      <c r="E19" s="12">
        <v>215</v>
      </c>
      <c r="F19" s="12">
        <v>219</v>
      </c>
      <c r="G19" s="12">
        <v>211</v>
      </c>
      <c r="H19" s="12">
        <v>237</v>
      </c>
      <c r="I19" s="12">
        <v>255</v>
      </c>
      <c r="J19" s="12">
        <v>245</v>
      </c>
      <c r="K19" s="12">
        <v>277</v>
      </c>
      <c r="L19" s="12">
        <v>297</v>
      </c>
      <c r="M19" s="12">
        <v>254</v>
      </c>
      <c r="N19" s="12">
        <v>239</v>
      </c>
      <c r="O19" s="12">
        <v>55</v>
      </c>
      <c r="P19" s="12">
        <v>2</v>
      </c>
      <c r="Q19" s="12">
        <v>0</v>
      </c>
      <c r="T19" s="1"/>
      <c r="AM19" s="17"/>
      <c r="AY19" s="17"/>
      <c r="BK19" s="17"/>
      <c r="BW19" s="17"/>
      <c r="CI19" s="17"/>
      <c r="CU19" s="17"/>
      <c r="DG19" s="17"/>
      <c r="DS19" s="17"/>
      <c r="EE19" s="17"/>
      <c r="EQ19" s="17"/>
      <c r="FC19" s="33"/>
      <c r="FD19" s="33"/>
      <c r="FE19" s="33"/>
      <c r="FF19" s="24"/>
      <c r="FG19" s="24"/>
      <c r="FH19" s="24"/>
      <c r="FI19" s="24"/>
      <c r="FJ19" s="24"/>
      <c r="FK19" s="24"/>
      <c r="FL19" s="24"/>
      <c r="FM19" s="24"/>
      <c r="FN19" s="17"/>
      <c r="FZ19" s="17"/>
    </row>
    <row r="20" spans="1:193" ht="14.25" customHeight="1">
      <c r="C20" s="17" t="s">
        <v>45</v>
      </c>
      <c r="O20" s="17"/>
      <c r="T20" s="1"/>
      <c r="Y20" s="17"/>
      <c r="AM20" s="17"/>
      <c r="AY20" s="17"/>
      <c r="BK20" s="17"/>
      <c r="BW20" s="17"/>
      <c r="CI20" s="17"/>
      <c r="CU20" s="17"/>
      <c r="DG20" s="17"/>
      <c r="DS20" s="17"/>
      <c r="EE20" s="17"/>
      <c r="EQ20" s="17"/>
      <c r="FC20" s="33"/>
      <c r="FD20" s="33"/>
      <c r="FE20" s="33"/>
      <c r="FF20" s="24"/>
      <c r="FG20" s="24"/>
      <c r="FH20" s="24"/>
      <c r="FI20" s="24"/>
      <c r="FJ20" s="24"/>
      <c r="FK20" s="24"/>
      <c r="FL20" s="24"/>
      <c r="FM20" s="24"/>
      <c r="FN20" s="17"/>
      <c r="FZ20" s="17"/>
    </row>
    <row r="21" spans="1:193" ht="14.25" customHeight="1">
      <c r="C21" s="5" t="s">
        <v>22</v>
      </c>
      <c r="D21" s="12">
        <v>54</v>
      </c>
      <c r="E21" s="12">
        <v>65</v>
      </c>
      <c r="F21" s="12">
        <v>62</v>
      </c>
      <c r="G21" s="12">
        <v>48</v>
      </c>
      <c r="H21" s="12">
        <v>59</v>
      </c>
      <c r="I21" s="12">
        <v>48</v>
      </c>
      <c r="J21" s="12">
        <v>46</v>
      </c>
      <c r="K21" s="12">
        <v>57</v>
      </c>
      <c r="L21" s="12">
        <v>54</v>
      </c>
      <c r="M21" s="12">
        <v>50</v>
      </c>
      <c r="N21" s="12">
        <v>63</v>
      </c>
      <c r="O21" s="12">
        <v>17</v>
      </c>
      <c r="P21" s="12">
        <v>0</v>
      </c>
      <c r="Q21" s="12">
        <v>2</v>
      </c>
      <c r="T21" s="1"/>
      <c r="Y21" s="24"/>
      <c r="AM21" s="17"/>
      <c r="AY21" s="17"/>
      <c r="BK21" s="17"/>
      <c r="BW21" s="17"/>
      <c r="CI21" s="17"/>
      <c r="CU21" s="17"/>
      <c r="DG21" s="17"/>
      <c r="DS21" s="17"/>
      <c r="EE21" s="17"/>
      <c r="EQ21" s="17"/>
      <c r="FC21" s="33"/>
      <c r="FD21" s="33"/>
      <c r="FE21" s="33"/>
      <c r="FF21" s="24"/>
      <c r="FG21" s="24"/>
      <c r="FH21" s="24"/>
      <c r="FI21" s="24"/>
      <c r="FJ21" s="24"/>
      <c r="FK21" s="24"/>
      <c r="FL21" s="24"/>
      <c r="FM21" s="24"/>
      <c r="FN21" s="17"/>
      <c r="FZ21" s="17"/>
    </row>
    <row r="22" spans="1:193" ht="14.25" customHeight="1">
      <c r="C22" s="38" t="s">
        <v>23</v>
      </c>
      <c r="D22" s="30">
        <v>13</v>
      </c>
      <c r="E22" s="40">
        <v>8</v>
      </c>
      <c r="F22" s="30">
        <v>7</v>
      </c>
      <c r="O22" s="17"/>
      <c r="T22" s="1"/>
      <c r="AA22" s="17"/>
      <c r="AM22" s="17"/>
      <c r="AY22" s="17"/>
      <c r="BK22" s="17"/>
      <c r="BW22" s="17"/>
      <c r="CI22" s="17"/>
      <c r="CU22" s="17"/>
      <c r="DG22" s="17"/>
      <c r="DS22" s="17"/>
      <c r="EE22" s="17"/>
      <c r="EQ22" s="17"/>
      <c r="FC22" s="33"/>
      <c r="FD22" s="33"/>
      <c r="FE22" s="33"/>
      <c r="FF22" s="24"/>
      <c r="FG22" s="24"/>
      <c r="FH22" s="24"/>
      <c r="FI22" s="24"/>
      <c r="FJ22" s="24"/>
      <c r="FK22" s="24"/>
      <c r="FL22" s="24"/>
      <c r="FM22" s="24"/>
      <c r="FN22" s="17"/>
      <c r="FZ22" s="17"/>
    </row>
    <row r="23" spans="1:193" ht="14.25" customHeight="1">
      <c r="C23" s="1" t="s">
        <v>24</v>
      </c>
      <c r="D23" s="30">
        <v>2</v>
      </c>
      <c r="E23" s="41">
        <v>2</v>
      </c>
      <c r="F23" s="30">
        <v>2</v>
      </c>
      <c r="O23" s="17"/>
      <c r="T23" s="1"/>
      <c r="AA23" s="17"/>
      <c r="AM23" s="17"/>
      <c r="AY23" s="17"/>
      <c r="BK23" s="17"/>
      <c r="BW23" s="17"/>
      <c r="CI23" s="17"/>
      <c r="CU23" s="17"/>
      <c r="DG23" s="17"/>
      <c r="DS23" s="17"/>
      <c r="EE23" s="17"/>
      <c r="EQ23" s="17"/>
      <c r="FC23" s="33"/>
      <c r="FD23" s="33"/>
      <c r="FE23" s="33"/>
      <c r="FF23" s="24"/>
      <c r="FG23" s="24"/>
      <c r="FH23" s="24"/>
      <c r="FI23" s="24"/>
      <c r="FJ23" s="24"/>
      <c r="FK23" s="24"/>
      <c r="FL23" s="24"/>
      <c r="FM23" s="24"/>
      <c r="FN23" s="17"/>
      <c r="FZ23" s="17"/>
    </row>
    <row r="24" spans="1:193" ht="14.25" customHeight="1">
      <c r="C24" s="1" t="s">
        <v>25</v>
      </c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/>
      <c r="T24" s="1"/>
      <c r="AA24" s="17"/>
      <c r="AM24" s="17"/>
      <c r="AY24" s="17"/>
      <c r="BK24" s="17"/>
      <c r="BW24" s="17"/>
      <c r="CI24" s="17"/>
      <c r="CU24" s="17"/>
      <c r="DG24" s="17"/>
      <c r="DS24" s="17"/>
      <c r="EE24" s="17"/>
      <c r="EQ24" s="17"/>
      <c r="FC24" s="33"/>
      <c r="FD24" s="33"/>
      <c r="FE24" s="33"/>
      <c r="FF24" s="24"/>
      <c r="FG24" s="24"/>
      <c r="FH24" s="24"/>
      <c r="FI24" s="24"/>
      <c r="FJ24" s="24"/>
      <c r="FK24" s="24"/>
      <c r="FL24" s="24"/>
      <c r="FM24" s="24"/>
      <c r="FN24" s="17"/>
      <c r="FZ24" s="17"/>
    </row>
    <row r="25" spans="1:193" ht="14.25" customHeight="1">
      <c r="C25" s="1" t="s">
        <v>26</v>
      </c>
      <c r="D25" s="40">
        <v>76</v>
      </c>
      <c r="E25" s="40">
        <v>92</v>
      </c>
      <c r="F25" s="30">
        <v>104</v>
      </c>
      <c r="G25" s="30">
        <v>72</v>
      </c>
      <c r="H25" s="30">
        <v>122</v>
      </c>
      <c r="I25" s="30">
        <v>111</v>
      </c>
      <c r="J25" s="30">
        <v>138</v>
      </c>
      <c r="K25" s="30">
        <v>196</v>
      </c>
      <c r="L25" s="30">
        <v>171</v>
      </c>
      <c r="M25" s="30">
        <v>163</v>
      </c>
      <c r="N25" s="30">
        <v>103</v>
      </c>
      <c r="O25" s="42">
        <v>6</v>
      </c>
      <c r="P25" s="30">
        <v>0</v>
      </c>
      <c r="Q25" s="30">
        <v>0</v>
      </c>
      <c r="R25" s="41"/>
      <c r="T25" s="1"/>
      <c r="AA25" s="17"/>
      <c r="AM25" s="17"/>
      <c r="AY25" s="17"/>
      <c r="BK25" s="17"/>
      <c r="BW25" s="17"/>
      <c r="CI25" s="17"/>
      <c r="CU25" s="17"/>
      <c r="DG25" s="17"/>
      <c r="DS25" s="17"/>
      <c r="EE25" s="17"/>
      <c r="EQ25" s="17"/>
      <c r="FC25" s="33"/>
      <c r="FD25" s="33"/>
      <c r="FE25" s="33"/>
      <c r="FF25" s="24"/>
      <c r="FG25" s="24"/>
      <c r="FH25" s="24"/>
      <c r="FI25" s="24"/>
      <c r="FJ25" s="24"/>
      <c r="FK25" s="24"/>
      <c r="FL25" s="24"/>
      <c r="FM25" s="24"/>
      <c r="FN25" s="17"/>
      <c r="FZ25" s="17"/>
    </row>
    <row r="26" spans="1:193" ht="14.25" customHeight="1">
      <c r="C26" s="1" t="s">
        <v>27</v>
      </c>
      <c r="D26" s="40">
        <v>68</v>
      </c>
      <c r="E26" s="40">
        <v>57</v>
      </c>
      <c r="F26" s="30">
        <v>77</v>
      </c>
      <c r="G26" s="30">
        <v>62</v>
      </c>
      <c r="H26" s="30">
        <v>85</v>
      </c>
      <c r="I26" s="30">
        <v>100</v>
      </c>
      <c r="J26" s="30">
        <v>123</v>
      </c>
      <c r="K26" s="30">
        <v>115</v>
      </c>
      <c r="L26" s="30">
        <v>153</v>
      </c>
      <c r="M26" s="30">
        <v>132</v>
      </c>
      <c r="N26" s="30">
        <v>117</v>
      </c>
      <c r="O26" s="42">
        <v>14</v>
      </c>
      <c r="P26" s="30">
        <v>0</v>
      </c>
      <c r="Q26" s="30">
        <v>0</v>
      </c>
      <c r="T26" s="1"/>
      <c r="AA26" s="17"/>
      <c r="AM26" s="17"/>
      <c r="AY26" s="17"/>
      <c r="BK26" s="17"/>
      <c r="BW26" s="17"/>
      <c r="CI26" s="17"/>
      <c r="CU26" s="17"/>
      <c r="DG26" s="17"/>
      <c r="DS26" s="17"/>
      <c r="EE26" s="17"/>
      <c r="EQ26" s="17"/>
      <c r="FC26" s="33"/>
      <c r="FD26" s="33"/>
      <c r="FE26" s="33"/>
      <c r="FF26" s="24"/>
      <c r="FG26" s="24"/>
      <c r="FH26" s="24"/>
      <c r="FI26" s="24"/>
      <c r="FJ26" s="24"/>
      <c r="FK26" s="24"/>
      <c r="FL26" s="24"/>
      <c r="FM26" s="24"/>
      <c r="FN26" s="17"/>
      <c r="FZ26" s="17"/>
    </row>
    <row r="27" spans="1:193" ht="14.25" customHeight="1">
      <c r="C27" s="1" t="s">
        <v>28</v>
      </c>
      <c r="D27" s="40">
        <v>161</v>
      </c>
      <c r="E27" s="40">
        <v>170</v>
      </c>
      <c r="F27" s="30">
        <v>139</v>
      </c>
      <c r="G27" s="30">
        <v>157</v>
      </c>
      <c r="H27" s="30">
        <v>218</v>
      </c>
      <c r="I27" s="30">
        <v>290</v>
      </c>
      <c r="J27" s="30">
        <v>305</v>
      </c>
      <c r="K27" s="30">
        <v>358</v>
      </c>
      <c r="L27" s="30">
        <v>331</v>
      </c>
      <c r="M27" s="30">
        <v>269</v>
      </c>
      <c r="N27" s="30">
        <v>253</v>
      </c>
      <c r="O27" s="42">
        <v>53</v>
      </c>
      <c r="P27" s="30">
        <v>3</v>
      </c>
      <c r="Q27" s="30">
        <v>0</v>
      </c>
      <c r="AA27" s="17"/>
      <c r="AM27" s="17"/>
      <c r="AY27" s="17"/>
      <c r="BK27" s="17"/>
      <c r="BW27" s="17"/>
      <c r="CI27" s="17"/>
      <c r="CU27" s="17"/>
      <c r="DG27" s="17"/>
      <c r="DS27" s="17"/>
      <c r="EE27" s="17"/>
      <c r="EQ27" s="17"/>
      <c r="FC27" s="33"/>
      <c r="FD27" s="33"/>
      <c r="FE27" s="33"/>
      <c r="FF27" s="24"/>
      <c r="FG27" s="24"/>
      <c r="FH27" s="24"/>
      <c r="FI27" s="24"/>
      <c r="FJ27" s="24"/>
      <c r="FK27" s="24"/>
      <c r="FL27" s="24"/>
      <c r="FM27" s="24"/>
      <c r="FN27" s="17"/>
      <c r="FZ27" s="17"/>
    </row>
    <row r="28" spans="1:193" ht="14.25" customHeight="1">
      <c r="C28" s="1" t="s">
        <v>29</v>
      </c>
      <c r="D28" s="41">
        <v>94</v>
      </c>
      <c r="E28" s="41">
        <v>92</v>
      </c>
      <c r="F28" s="30">
        <v>390</v>
      </c>
      <c r="G28" s="30">
        <v>479</v>
      </c>
      <c r="H28" s="30">
        <v>464</v>
      </c>
      <c r="I28" s="30">
        <v>490</v>
      </c>
      <c r="J28" s="30">
        <v>605</v>
      </c>
      <c r="K28" s="30">
        <v>624</v>
      </c>
      <c r="L28" s="30">
        <v>510</v>
      </c>
      <c r="M28" s="30">
        <v>471</v>
      </c>
      <c r="N28" s="30">
        <v>122</v>
      </c>
      <c r="O28" s="42">
        <v>3</v>
      </c>
      <c r="P28" s="30">
        <v>0</v>
      </c>
      <c r="Q28" s="30">
        <v>0</v>
      </c>
      <c r="AA28" s="17"/>
      <c r="AM28" s="17"/>
      <c r="AY28" s="17"/>
      <c r="BK28" s="17"/>
      <c r="BW28" s="17"/>
      <c r="CI28" s="17"/>
      <c r="CU28" s="17"/>
      <c r="DG28" s="17"/>
      <c r="DS28" s="17"/>
      <c r="EE28" s="17"/>
      <c r="EQ28" s="17"/>
      <c r="FC28" s="33"/>
      <c r="FD28" s="33"/>
      <c r="FE28" s="33"/>
      <c r="FF28" s="24"/>
      <c r="FG28" s="24"/>
      <c r="FH28" s="24"/>
      <c r="FI28" s="24"/>
      <c r="FJ28" s="24"/>
      <c r="FK28" s="24"/>
      <c r="FL28" s="24"/>
      <c r="FM28" s="24"/>
      <c r="FN28" s="17"/>
      <c r="FZ28" s="17"/>
    </row>
    <row r="29" spans="1:193">
      <c r="A29" s="35">
        <v>108</v>
      </c>
      <c r="B29" s="35" t="s">
        <v>37</v>
      </c>
      <c r="C29" s="36" t="s">
        <v>18</v>
      </c>
      <c r="D29" s="35">
        <v>21</v>
      </c>
      <c r="E29" s="35">
        <v>37</v>
      </c>
      <c r="F29" s="35">
        <v>31</v>
      </c>
      <c r="G29" s="35">
        <v>36</v>
      </c>
      <c r="H29" s="35">
        <v>34</v>
      </c>
      <c r="I29" s="35">
        <v>46</v>
      </c>
      <c r="J29" s="35">
        <v>27</v>
      </c>
      <c r="K29" s="35">
        <v>24</v>
      </c>
      <c r="L29" s="35">
        <v>34</v>
      </c>
      <c r="M29" s="35">
        <v>26</v>
      </c>
      <c r="N29" s="35">
        <v>30</v>
      </c>
      <c r="O29" s="35">
        <v>27</v>
      </c>
      <c r="P29" s="35">
        <v>41</v>
      </c>
      <c r="Q29" s="35">
        <v>26</v>
      </c>
      <c r="R29" s="35"/>
      <c r="S29" s="35"/>
      <c r="T29" s="35"/>
      <c r="U29" s="35"/>
      <c r="V29" s="35"/>
      <c r="W29" s="35"/>
      <c r="X29" s="35"/>
      <c r="Y29" s="35"/>
      <c r="Z29" s="35"/>
      <c r="AA29" s="36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6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6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6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6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6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6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6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6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6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6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7"/>
      <c r="FD29" s="37"/>
      <c r="FE29" s="37"/>
      <c r="FF29" s="13"/>
      <c r="FG29" s="13"/>
      <c r="FH29" s="13"/>
      <c r="FI29" s="13"/>
      <c r="FJ29" s="13"/>
      <c r="FK29" s="13"/>
      <c r="FL29" s="13"/>
      <c r="FM29" s="13"/>
      <c r="FN29" s="36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6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</row>
    <row r="30" spans="1:193" ht="14.25" customHeight="1">
      <c r="C30" s="1" t="s">
        <v>19</v>
      </c>
      <c r="D30" s="12">
        <v>0</v>
      </c>
      <c r="E30" s="12">
        <v>4</v>
      </c>
      <c r="F30" s="12">
        <v>4</v>
      </c>
      <c r="G30" s="12">
        <v>0</v>
      </c>
      <c r="H30" s="12">
        <v>5</v>
      </c>
      <c r="I30" s="12">
        <v>4</v>
      </c>
      <c r="J30" s="12">
        <v>2</v>
      </c>
      <c r="K30" s="12">
        <v>3</v>
      </c>
      <c r="L30" s="12">
        <v>6</v>
      </c>
      <c r="M30" s="12">
        <v>6</v>
      </c>
      <c r="N30" s="12">
        <v>1</v>
      </c>
      <c r="O30" s="17">
        <v>6</v>
      </c>
      <c r="P30" s="12">
        <v>7</v>
      </c>
      <c r="Q30" s="12">
        <v>2</v>
      </c>
      <c r="AA30" s="17"/>
      <c r="AM30" s="17"/>
      <c r="AY30" s="17"/>
      <c r="BK30" s="17"/>
      <c r="BW30" s="17"/>
      <c r="CI30" s="17"/>
      <c r="CU30" s="17"/>
      <c r="DG30" s="17"/>
      <c r="DS30" s="17"/>
      <c r="EE30" s="17"/>
      <c r="EQ30" s="17"/>
      <c r="FC30" s="33"/>
      <c r="FD30" s="33"/>
      <c r="FE30" s="33"/>
      <c r="FF30" s="24"/>
      <c r="FG30" s="24"/>
      <c r="FH30" s="24"/>
      <c r="FI30" s="24"/>
      <c r="FJ30" s="24"/>
      <c r="FK30" s="24"/>
      <c r="FL30" s="24"/>
      <c r="FM30" s="24"/>
      <c r="FN30" s="17"/>
      <c r="FZ30" s="17"/>
    </row>
    <row r="31" spans="1:193" ht="14.25" customHeight="1">
      <c r="C31" s="1" t="s">
        <v>20</v>
      </c>
      <c r="D31" s="12">
        <v>0</v>
      </c>
      <c r="E31" s="12">
        <v>1</v>
      </c>
      <c r="F31" s="12">
        <v>0</v>
      </c>
      <c r="G31" s="12">
        <v>0</v>
      </c>
      <c r="H31" s="12">
        <v>3</v>
      </c>
      <c r="I31" s="12">
        <v>3</v>
      </c>
      <c r="J31" s="12">
        <v>3</v>
      </c>
      <c r="K31" s="12">
        <v>1</v>
      </c>
      <c r="L31" s="12">
        <v>3</v>
      </c>
      <c r="M31" s="12">
        <v>0</v>
      </c>
      <c r="N31" s="12">
        <v>1</v>
      </c>
      <c r="O31" s="12">
        <v>2</v>
      </c>
      <c r="P31" s="12">
        <v>4</v>
      </c>
      <c r="Q31" s="12">
        <v>1</v>
      </c>
      <c r="AA31" s="17"/>
      <c r="AM31" s="17"/>
      <c r="AY31" s="17"/>
      <c r="BK31" s="17"/>
      <c r="BW31" s="17"/>
      <c r="CI31" s="17"/>
      <c r="CU31" s="17"/>
      <c r="DG31" s="17"/>
      <c r="DS31" s="17"/>
      <c r="EE31" s="17"/>
      <c r="EQ31" s="17"/>
      <c r="FC31" s="33"/>
      <c r="FD31" s="33"/>
      <c r="FE31" s="33"/>
      <c r="FF31" s="24"/>
      <c r="FG31" s="24"/>
      <c r="FH31" s="24"/>
      <c r="FI31" s="24"/>
      <c r="FJ31" s="24"/>
      <c r="FK31" s="24"/>
      <c r="FL31" s="24"/>
      <c r="FM31" s="24"/>
      <c r="FN31" s="17"/>
      <c r="FZ31" s="17"/>
    </row>
    <row r="32" spans="1:193" ht="14.25" customHeight="1">
      <c r="C32" s="1" t="s">
        <v>21</v>
      </c>
      <c r="D32" s="12">
        <v>8</v>
      </c>
      <c r="E32" s="12">
        <v>16</v>
      </c>
      <c r="F32" s="12">
        <v>20</v>
      </c>
      <c r="G32" s="12">
        <v>22</v>
      </c>
      <c r="H32" s="12">
        <v>21</v>
      </c>
      <c r="I32" s="12">
        <v>31</v>
      </c>
      <c r="J32" s="12">
        <v>15</v>
      </c>
      <c r="K32" s="12">
        <v>18</v>
      </c>
      <c r="L32" s="12">
        <v>22</v>
      </c>
      <c r="M32" s="12">
        <v>18</v>
      </c>
      <c r="N32" s="12">
        <v>25</v>
      </c>
      <c r="O32" s="12">
        <v>23</v>
      </c>
      <c r="P32" s="12">
        <v>33</v>
      </c>
      <c r="Q32" s="12">
        <v>15</v>
      </c>
      <c r="AA32" s="17"/>
      <c r="AM32" s="17"/>
      <c r="AY32" s="17"/>
      <c r="BK32" s="17"/>
      <c r="BW32" s="17"/>
      <c r="CI32" s="17"/>
      <c r="CU32" s="17"/>
      <c r="DG32" s="17"/>
      <c r="DS32" s="17"/>
      <c r="EE32" s="17"/>
      <c r="EQ32" s="17"/>
      <c r="FC32" s="33"/>
      <c r="FD32" s="33"/>
      <c r="FE32" s="33"/>
      <c r="FF32" s="24"/>
      <c r="FG32" s="24"/>
      <c r="FH32" s="24"/>
      <c r="FI32" s="24"/>
      <c r="FJ32" s="24"/>
      <c r="FK32" s="24"/>
      <c r="FL32" s="24"/>
      <c r="FM32" s="24"/>
      <c r="FN32" s="17"/>
      <c r="FZ32" s="17"/>
    </row>
    <row r="33" spans="1:193" ht="14.25" customHeight="1">
      <c r="C33" s="1" t="s">
        <v>45</v>
      </c>
      <c r="AA33" s="17"/>
      <c r="AM33" s="17"/>
      <c r="AY33" s="17"/>
      <c r="BK33" s="17"/>
      <c r="BW33" s="17"/>
      <c r="CI33" s="17"/>
      <c r="CU33" s="17"/>
      <c r="DG33" s="17"/>
      <c r="DS33" s="17"/>
      <c r="EE33" s="17"/>
      <c r="EQ33" s="17"/>
      <c r="FC33" s="33"/>
      <c r="FD33" s="33"/>
      <c r="FE33" s="33"/>
      <c r="FF33" s="24"/>
      <c r="FG33" s="24"/>
      <c r="FH33" s="24"/>
      <c r="FI33" s="24"/>
      <c r="FJ33" s="24"/>
      <c r="FK33" s="24"/>
      <c r="FL33" s="24"/>
      <c r="FM33" s="24"/>
      <c r="FN33" s="17"/>
      <c r="FZ33" s="17"/>
    </row>
    <row r="34" spans="1:193" ht="14.25" customHeight="1">
      <c r="C34" s="38" t="s">
        <v>22</v>
      </c>
      <c r="D34" s="12">
        <v>9</v>
      </c>
      <c r="E34" s="12">
        <v>12</v>
      </c>
      <c r="F34" s="12">
        <v>5</v>
      </c>
      <c r="G34" s="12">
        <v>8</v>
      </c>
      <c r="H34" s="12">
        <v>7</v>
      </c>
      <c r="I34" s="12">
        <v>6</v>
      </c>
      <c r="J34" s="12">
        <v>9</v>
      </c>
      <c r="K34" s="12">
        <v>4</v>
      </c>
      <c r="L34" s="12">
        <v>11</v>
      </c>
      <c r="M34" s="12">
        <v>8</v>
      </c>
      <c r="N34" s="12">
        <v>9</v>
      </c>
      <c r="O34" s="12">
        <v>6</v>
      </c>
      <c r="P34" s="12">
        <v>6</v>
      </c>
      <c r="Q34" s="12">
        <v>5</v>
      </c>
      <c r="AA34" s="17"/>
      <c r="AM34" s="17"/>
      <c r="AY34" s="17"/>
      <c r="BK34" s="17"/>
      <c r="BW34" s="17"/>
      <c r="CI34" s="17"/>
      <c r="CU34" s="17"/>
      <c r="DG34" s="17"/>
      <c r="DS34" s="17"/>
      <c r="EE34" s="17"/>
      <c r="EQ34" s="17"/>
      <c r="FC34" s="33"/>
      <c r="FD34" s="33"/>
      <c r="FE34" s="33"/>
      <c r="FF34" s="24"/>
      <c r="FG34" s="24"/>
      <c r="FH34" s="24"/>
      <c r="FI34" s="24"/>
      <c r="FJ34" s="24"/>
      <c r="FK34" s="24"/>
      <c r="FL34" s="24"/>
      <c r="FM34" s="24"/>
      <c r="FN34" s="17"/>
      <c r="FZ34" s="17"/>
    </row>
    <row r="35" spans="1:193" ht="14.25" customHeight="1">
      <c r="C35" s="38" t="s">
        <v>23</v>
      </c>
      <c r="D35" s="30">
        <v>1</v>
      </c>
      <c r="E35" s="30">
        <v>5</v>
      </c>
      <c r="F35" s="30">
        <v>0</v>
      </c>
      <c r="G35" s="30">
        <v>4</v>
      </c>
      <c r="H35" s="30">
        <v>1</v>
      </c>
      <c r="I35" s="30">
        <v>1</v>
      </c>
      <c r="J35" s="30">
        <v>0</v>
      </c>
      <c r="K35" s="30">
        <v>2</v>
      </c>
      <c r="L35" s="30">
        <v>5</v>
      </c>
      <c r="M35" s="30">
        <v>3</v>
      </c>
      <c r="N35" s="30">
        <v>4</v>
      </c>
      <c r="O35" s="42">
        <v>1</v>
      </c>
      <c r="P35" s="30">
        <v>3</v>
      </c>
      <c r="Q35" s="30">
        <v>3</v>
      </c>
      <c r="AA35" s="17"/>
      <c r="AM35" s="17"/>
      <c r="AY35" s="17"/>
      <c r="BK35" s="17"/>
      <c r="BW35" s="17"/>
      <c r="CI35" s="17"/>
      <c r="CU35" s="17"/>
      <c r="DG35" s="17"/>
      <c r="DS35" s="17"/>
      <c r="EE35" s="17"/>
      <c r="EQ35" s="17"/>
      <c r="FC35" s="33"/>
      <c r="FD35" s="33"/>
      <c r="FE35" s="33"/>
      <c r="FF35" s="24"/>
      <c r="FG35" s="24"/>
      <c r="FH35" s="24"/>
      <c r="FI35" s="24"/>
      <c r="FJ35" s="24"/>
      <c r="FK35" s="24"/>
      <c r="FL35" s="24"/>
      <c r="FM35" s="24"/>
      <c r="FN35" s="17"/>
      <c r="FZ35" s="17"/>
    </row>
    <row r="36" spans="1:193" ht="14.25" customHeight="1">
      <c r="C36" s="1" t="s">
        <v>24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1</v>
      </c>
      <c r="K36" s="30">
        <v>1</v>
      </c>
      <c r="L36" s="30">
        <v>0</v>
      </c>
      <c r="M36" s="30">
        <v>1</v>
      </c>
      <c r="N36" s="30">
        <v>0</v>
      </c>
      <c r="O36" s="42">
        <v>1</v>
      </c>
      <c r="P36" s="30">
        <v>0</v>
      </c>
      <c r="Q36" s="30">
        <v>1</v>
      </c>
      <c r="AA36" s="17"/>
      <c r="AM36" s="17"/>
      <c r="AY36" s="17"/>
      <c r="BK36" s="17"/>
      <c r="BW36" s="17"/>
      <c r="CI36" s="17"/>
      <c r="CU36" s="17"/>
      <c r="DG36" s="17"/>
      <c r="DS36" s="17"/>
      <c r="EE36" s="17"/>
      <c r="EQ36" s="17"/>
      <c r="FC36" s="33"/>
      <c r="FD36" s="33"/>
      <c r="FE36" s="33"/>
      <c r="FF36" s="24"/>
      <c r="FG36" s="24"/>
      <c r="FH36" s="24"/>
      <c r="FI36" s="24"/>
      <c r="FJ36" s="24"/>
      <c r="FK36" s="24"/>
      <c r="FL36" s="24"/>
      <c r="FM36" s="24"/>
      <c r="FN36" s="17"/>
      <c r="FZ36" s="17"/>
    </row>
    <row r="37" spans="1:193" ht="14.25" customHeight="1">
      <c r="C37" s="1" t="s">
        <v>25</v>
      </c>
      <c r="D37" s="30">
        <v>0</v>
      </c>
      <c r="E37" s="30">
        <v>1</v>
      </c>
      <c r="F37" s="30">
        <v>0</v>
      </c>
      <c r="G37" s="30">
        <v>0</v>
      </c>
      <c r="H37" s="30">
        <v>2</v>
      </c>
      <c r="I37" s="30">
        <v>3</v>
      </c>
      <c r="J37" s="30">
        <v>1</v>
      </c>
      <c r="K37" s="30">
        <v>1</v>
      </c>
      <c r="L37" s="30">
        <v>2</v>
      </c>
      <c r="M37" s="30">
        <v>0</v>
      </c>
      <c r="N37" s="30">
        <v>1</v>
      </c>
      <c r="O37" s="42">
        <v>2</v>
      </c>
      <c r="P37" s="30">
        <v>2</v>
      </c>
      <c r="Q37" s="30">
        <v>0</v>
      </c>
      <c r="R37" s="30"/>
      <c r="AA37" s="17"/>
      <c r="AM37" s="17"/>
      <c r="AY37" s="17"/>
      <c r="BK37" s="17"/>
      <c r="BW37" s="17"/>
      <c r="CI37" s="17"/>
      <c r="CU37" s="17"/>
      <c r="DG37" s="17"/>
      <c r="DS37" s="17"/>
      <c r="EE37" s="17"/>
      <c r="EQ37" s="17"/>
      <c r="FC37" s="33"/>
      <c r="FD37" s="33"/>
      <c r="FE37" s="33"/>
      <c r="FF37" s="24"/>
      <c r="FG37" s="24"/>
      <c r="FH37" s="24"/>
      <c r="FI37" s="24"/>
      <c r="FJ37" s="24"/>
      <c r="FK37" s="24"/>
      <c r="FL37" s="24"/>
      <c r="FM37" s="24"/>
      <c r="FN37" s="17"/>
      <c r="FZ37" s="17"/>
    </row>
    <row r="38" spans="1:193" ht="14.25" customHeight="1">
      <c r="C38" s="1" t="s">
        <v>26</v>
      </c>
      <c r="D38" s="30">
        <v>0</v>
      </c>
      <c r="E38" s="30">
        <v>0</v>
      </c>
      <c r="F38" s="30">
        <v>0</v>
      </c>
      <c r="G38" s="30">
        <v>0</v>
      </c>
      <c r="H38" s="30">
        <v>1</v>
      </c>
      <c r="I38" s="30">
        <v>1</v>
      </c>
      <c r="J38" s="30">
        <v>2</v>
      </c>
      <c r="K38" s="30">
        <v>1</v>
      </c>
      <c r="L38" s="30">
        <v>3</v>
      </c>
      <c r="M38" s="30">
        <v>0</v>
      </c>
      <c r="N38" s="30">
        <v>0</v>
      </c>
      <c r="O38" s="42">
        <v>2</v>
      </c>
      <c r="P38" s="30">
        <v>2</v>
      </c>
      <c r="Q38" s="30">
        <v>0</v>
      </c>
      <c r="AA38" s="17"/>
      <c r="AM38" s="17"/>
      <c r="AY38" s="17"/>
      <c r="BK38" s="17"/>
      <c r="BW38" s="17"/>
      <c r="CI38" s="17"/>
      <c r="CU38" s="17"/>
      <c r="DG38" s="17"/>
      <c r="DS38" s="17"/>
      <c r="EE38" s="17"/>
      <c r="EQ38" s="17"/>
      <c r="FC38" s="33"/>
      <c r="FD38" s="33"/>
      <c r="FE38" s="33"/>
      <c r="FF38" s="24"/>
      <c r="FG38" s="24"/>
      <c r="FH38" s="24"/>
      <c r="FI38" s="24"/>
      <c r="FJ38" s="24"/>
      <c r="FK38" s="24"/>
      <c r="FL38" s="24"/>
      <c r="FM38" s="24"/>
      <c r="FN38" s="17"/>
      <c r="FZ38" s="17"/>
    </row>
    <row r="39" spans="1:193" ht="14.25" customHeight="1">
      <c r="C39" s="1" t="s">
        <v>27</v>
      </c>
      <c r="D39" s="30">
        <v>0</v>
      </c>
      <c r="E39" s="30">
        <v>3</v>
      </c>
      <c r="F39" s="30">
        <v>4</v>
      </c>
      <c r="G39" s="30">
        <v>0</v>
      </c>
      <c r="H39" s="30">
        <v>0</v>
      </c>
      <c r="I39" s="30">
        <v>3</v>
      </c>
      <c r="J39" s="30">
        <v>2</v>
      </c>
      <c r="K39" s="30">
        <v>3</v>
      </c>
      <c r="L39" s="30">
        <v>4</v>
      </c>
      <c r="M39" s="30">
        <v>6</v>
      </c>
      <c r="N39" s="30">
        <v>1</v>
      </c>
      <c r="O39" s="42">
        <v>5</v>
      </c>
      <c r="P39" s="30">
        <v>5</v>
      </c>
      <c r="Q39" s="30">
        <v>2</v>
      </c>
      <c r="AA39" s="17"/>
      <c r="AM39" s="17"/>
      <c r="AY39" s="17"/>
      <c r="BK39" s="17"/>
      <c r="BW39" s="17"/>
      <c r="CI39" s="17"/>
      <c r="CU39" s="17"/>
      <c r="DG39" s="17"/>
      <c r="DS39" s="17"/>
      <c r="EE39" s="17"/>
      <c r="EQ39" s="17"/>
      <c r="FC39" s="33"/>
      <c r="FD39" s="33"/>
      <c r="FE39" s="33"/>
      <c r="FF39" s="24"/>
      <c r="FG39" s="24"/>
      <c r="FH39" s="24"/>
      <c r="FI39" s="24"/>
      <c r="FJ39" s="24"/>
      <c r="FK39" s="24"/>
      <c r="FL39" s="24"/>
      <c r="FM39" s="24"/>
      <c r="FN39" s="17"/>
      <c r="FZ39" s="17"/>
    </row>
    <row r="40" spans="1:193" ht="14.25" customHeight="1">
      <c r="C40" s="1" t="s">
        <v>28</v>
      </c>
      <c r="D40" s="30">
        <v>2</v>
      </c>
      <c r="E40" s="30">
        <v>12</v>
      </c>
      <c r="F40" s="30">
        <v>9</v>
      </c>
      <c r="G40" s="30">
        <v>11</v>
      </c>
      <c r="H40" s="30">
        <v>16</v>
      </c>
      <c r="I40" s="30">
        <v>26</v>
      </c>
      <c r="J40" s="30">
        <v>16</v>
      </c>
      <c r="K40" s="30">
        <v>9</v>
      </c>
      <c r="L40" s="30">
        <v>15</v>
      </c>
      <c r="M40" s="30">
        <v>8</v>
      </c>
      <c r="N40" s="30">
        <v>6</v>
      </c>
      <c r="O40" s="42">
        <v>9</v>
      </c>
      <c r="P40" s="30">
        <v>11</v>
      </c>
      <c r="Q40" s="30">
        <v>4</v>
      </c>
      <c r="AA40" s="17"/>
      <c r="AM40" s="17"/>
      <c r="AY40" s="17"/>
      <c r="BK40" s="17"/>
      <c r="BW40" s="17"/>
      <c r="CI40" s="17"/>
      <c r="CU40" s="17"/>
      <c r="DG40" s="17"/>
      <c r="DS40" s="17"/>
      <c r="EE40" s="17"/>
      <c r="EQ40" s="17"/>
      <c r="FC40" s="33"/>
      <c r="FD40" s="33"/>
      <c r="FE40" s="33"/>
      <c r="FF40" s="24"/>
      <c r="FG40" s="24"/>
      <c r="FH40" s="24"/>
      <c r="FI40" s="24"/>
      <c r="FJ40" s="24"/>
      <c r="FK40" s="24"/>
      <c r="FL40" s="24"/>
      <c r="FM40" s="24"/>
      <c r="FN40" s="17"/>
      <c r="FZ40" s="17"/>
    </row>
    <row r="41" spans="1:193" ht="14.25" customHeight="1">
      <c r="C41" s="1" t="s">
        <v>29</v>
      </c>
      <c r="D41" s="30">
        <v>17</v>
      </c>
      <c r="E41" s="30">
        <v>30</v>
      </c>
      <c r="F41" s="30">
        <v>28</v>
      </c>
      <c r="G41" s="30">
        <v>31</v>
      </c>
      <c r="H41" s="30">
        <v>28</v>
      </c>
      <c r="I41" s="30">
        <v>48</v>
      </c>
      <c r="J41" s="30">
        <v>23</v>
      </c>
      <c r="K41" s="30">
        <v>17</v>
      </c>
      <c r="L41" s="30">
        <v>27</v>
      </c>
      <c r="M41" s="30">
        <v>24</v>
      </c>
      <c r="N41" s="30">
        <v>18</v>
      </c>
      <c r="O41" s="42">
        <v>25</v>
      </c>
      <c r="P41" s="30">
        <v>37</v>
      </c>
      <c r="Q41" s="30">
        <v>18</v>
      </c>
      <c r="AA41" s="17"/>
      <c r="AM41" s="17"/>
      <c r="AY41" s="17"/>
      <c r="BK41" s="17"/>
      <c r="BW41" s="17"/>
      <c r="CI41" s="17"/>
      <c r="CU41" s="17"/>
      <c r="DG41" s="17"/>
      <c r="DS41" s="17"/>
      <c r="EE41" s="17"/>
      <c r="EQ41" s="17"/>
      <c r="FC41" s="33"/>
      <c r="FD41" s="33"/>
      <c r="FE41" s="33"/>
      <c r="FF41" s="24"/>
      <c r="FG41" s="24"/>
      <c r="FH41" s="24"/>
      <c r="FI41" s="24"/>
      <c r="FJ41" s="24"/>
      <c r="FK41" s="24"/>
      <c r="FL41" s="24"/>
      <c r="FM41" s="24"/>
      <c r="FN41" s="17"/>
      <c r="FZ41" s="17"/>
    </row>
    <row r="42" spans="1:193" ht="14.25" customHeight="1">
      <c r="A42" s="35">
        <v>110</v>
      </c>
      <c r="B42" s="35" t="s">
        <v>39</v>
      </c>
      <c r="C42" s="36" t="s">
        <v>18</v>
      </c>
      <c r="D42" s="35">
        <v>228</v>
      </c>
      <c r="E42" s="35">
        <v>226</v>
      </c>
      <c r="F42" s="35">
        <v>221</v>
      </c>
      <c r="G42" s="35">
        <v>217</v>
      </c>
      <c r="H42" s="35">
        <v>200</v>
      </c>
      <c r="I42" s="35">
        <v>240</v>
      </c>
      <c r="J42" s="35">
        <v>238</v>
      </c>
      <c r="K42" s="35">
        <v>251</v>
      </c>
      <c r="L42" s="35">
        <v>198</v>
      </c>
      <c r="M42" s="35">
        <v>159</v>
      </c>
      <c r="N42" s="35">
        <v>228</v>
      </c>
      <c r="O42" s="35">
        <v>181</v>
      </c>
      <c r="P42" s="35">
        <v>69</v>
      </c>
      <c r="Q42" s="35">
        <v>2</v>
      </c>
      <c r="R42" s="35"/>
      <c r="S42" s="35"/>
      <c r="T42" s="35"/>
      <c r="U42" s="35"/>
      <c r="V42" s="35"/>
      <c r="W42" s="35"/>
      <c r="X42" s="35"/>
      <c r="Y42" s="35"/>
      <c r="Z42" s="35"/>
      <c r="AA42" s="36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6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6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6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6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6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6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6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6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6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6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7"/>
      <c r="FD42" s="37"/>
      <c r="FE42" s="37"/>
      <c r="FF42" s="13"/>
      <c r="FG42" s="13"/>
      <c r="FH42" s="13"/>
      <c r="FI42" s="13"/>
      <c r="FJ42" s="13"/>
      <c r="FK42" s="13"/>
      <c r="FL42" s="13"/>
      <c r="FM42" s="13"/>
      <c r="FN42" s="36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6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</row>
    <row r="43" spans="1:193" ht="14.25" customHeight="1">
      <c r="C43" s="1" t="s">
        <v>19</v>
      </c>
      <c r="D43" s="12">
        <v>86</v>
      </c>
      <c r="E43" s="12">
        <v>87</v>
      </c>
      <c r="F43" s="12">
        <v>67</v>
      </c>
      <c r="G43" s="12">
        <v>67</v>
      </c>
      <c r="H43" s="12">
        <v>90</v>
      </c>
      <c r="I43" s="12">
        <v>130</v>
      </c>
      <c r="J43" s="12">
        <v>97</v>
      </c>
      <c r="K43" s="12">
        <v>112</v>
      </c>
      <c r="L43" s="12">
        <v>95</v>
      </c>
      <c r="M43" s="12">
        <v>97</v>
      </c>
      <c r="N43" s="12">
        <v>154</v>
      </c>
      <c r="O43" s="17">
        <v>96</v>
      </c>
      <c r="P43" s="12">
        <v>27</v>
      </c>
      <c r="Q43" s="12">
        <v>2</v>
      </c>
      <c r="AA43" s="17"/>
      <c r="AM43" s="17"/>
      <c r="AY43" s="17"/>
      <c r="BK43" s="17"/>
      <c r="BW43" s="17"/>
      <c r="CI43" s="17"/>
      <c r="CU43" s="17"/>
      <c r="DG43" s="17"/>
      <c r="DS43" s="17"/>
      <c r="EE43" s="17"/>
      <c r="EQ43" s="17"/>
      <c r="FC43" s="33"/>
      <c r="FD43" s="33"/>
      <c r="FE43" s="33"/>
      <c r="FF43" s="24"/>
      <c r="FG43" s="24"/>
      <c r="FH43" s="24"/>
      <c r="FI43" s="24"/>
      <c r="FJ43" s="24"/>
      <c r="FK43" s="24"/>
      <c r="FL43" s="24"/>
      <c r="FM43" s="24"/>
      <c r="FN43" s="17"/>
      <c r="FZ43" s="17"/>
    </row>
    <row r="44" spans="1:193" ht="14.25" customHeight="1">
      <c r="C44" s="1" t="s">
        <v>20</v>
      </c>
      <c r="D44" s="12">
        <v>44</v>
      </c>
      <c r="E44" s="12">
        <v>57</v>
      </c>
      <c r="F44" s="12">
        <v>60</v>
      </c>
      <c r="G44" s="12">
        <v>65</v>
      </c>
      <c r="H44" s="12">
        <v>52</v>
      </c>
      <c r="I44" s="12">
        <v>69</v>
      </c>
      <c r="J44" s="12">
        <v>60</v>
      </c>
      <c r="K44" s="12">
        <v>69</v>
      </c>
      <c r="L44" s="12">
        <v>48</v>
      </c>
      <c r="M44" s="12">
        <v>55</v>
      </c>
      <c r="N44" s="12">
        <v>63</v>
      </c>
      <c r="O44" s="12">
        <v>33</v>
      </c>
      <c r="P44" s="12">
        <v>12</v>
      </c>
      <c r="Q44" s="12">
        <v>2</v>
      </c>
      <c r="AA44" s="17"/>
      <c r="AM44" s="17"/>
      <c r="AY44" s="17"/>
      <c r="BK44" s="17"/>
      <c r="BW44" s="17"/>
      <c r="CI44" s="17"/>
      <c r="CU44" s="17"/>
      <c r="DG44" s="17"/>
      <c r="DS44" s="17"/>
      <c r="EE44" s="17"/>
      <c r="EQ44" s="17"/>
      <c r="FC44" s="33"/>
      <c r="FD44" s="33"/>
      <c r="FE44" s="33"/>
      <c r="FF44" s="24"/>
      <c r="FG44" s="24"/>
      <c r="FH44" s="24"/>
      <c r="FI44" s="24"/>
      <c r="FJ44" s="24"/>
      <c r="FK44" s="24"/>
      <c r="FL44" s="24"/>
      <c r="FM44" s="24"/>
      <c r="FN44" s="17"/>
      <c r="FZ44" s="17"/>
    </row>
    <row r="45" spans="1:193" ht="14.25" customHeight="1">
      <c r="C45" s="1" t="s">
        <v>21</v>
      </c>
      <c r="D45" s="12">
        <v>120</v>
      </c>
      <c r="E45" s="12">
        <v>103</v>
      </c>
      <c r="F45" s="12">
        <v>128</v>
      </c>
      <c r="G45" s="12">
        <v>120</v>
      </c>
      <c r="H45" s="12">
        <v>94</v>
      </c>
      <c r="I45" s="12">
        <v>113</v>
      </c>
      <c r="J45" s="12">
        <v>114</v>
      </c>
      <c r="K45" s="12">
        <v>108</v>
      </c>
      <c r="L45" s="12">
        <v>85</v>
      </c>
      <c r="M45" s="12">
        <v>75</v>
      </c>
      <c r="N45" s="12">
        <v>120</v>
      </c>
      <c r="O45" s="12">
        <v>96</v>
      </c>
      <c r="P45" s="12">
        <v>45</v>
      </c>
      <c r="Q45" s="12">
        <v>0</v>
      </c>
      <c r="AA45" s="17"/>
      <c r="AM45" s="17"/>
      <c r="AY45" s="17"/>
      <c r="BK45" s="17"/>
      <c r="BW45" s="17"/>
      <c r="CI45" s="17"/>
      <c r="CU45" s="17"/>
      <c r="DG45" s="17"/>
      <c r="DS45" s="17"/>
      <c r="EE45" s="17"/>
      <c r="EQ45" s="17"/>
      <c r="FC45" s="33"/>
      <c r="FD45" s="33"/>
      <c r="FE45" s="33"/>
      <c r="FF45" s="24"/>
      <c r="FG45" s="24"/>
      <c r="FH45" s="24"/>
      <c r="FI45" s="24"/>
      <c r="FJ45" s="24"/>
      <c r="FK45" s="24"/>
      <c r="FL45" s="24"/>
      <c r="FM45" s="24"/>
      <c r="FN45" s="17"/>
      <c r="FZ45" s="17"/>
    </row>
    <row r="46" spans="1:193" ht="14.25" customHeight="1">
      <c r="C46" s="1" t="s">
        <v>45</v>
      </c>
      <c r="AA46" s="17"/>
      <c r="AM46" s="17"/>
      <c r="AY46" s="17"/>
      <c r="BK46" s="17"/>
      <c r="BW46" s="17"/>
      <c r="CI46" s="17"/>
      <c r="CU46" s="17"/>
      <c r="DG46" s="17"/>
      <c r="DS46" s="17"/>
      <c r="EE46" s="17"/>
      <c r="EQ46" s="17"/>
      <c r="FC46" s="33"/>
      <c r="FD46" s="33"/>
      <c r="FE46" s="33"/>
      <c r="FF46" s="24"/>
      <c r="FG46" s="24"/>
      <c r="FH46" s="24"/>
      <c r="FI46" s="24"/>
      <c r="FJ46" s="24"/>
      <c r="FK46" s="24"/>
      <c r="FL46" s="24"/>
      <c r="FM46" s="24"/>
      <c r="FN46" s="17"/>
      <c r="FZ46" s="17"/>
    </row>
    <row r="47" spans="1:193" ht="14.25" customHeight="1">
      <c r="C47" s="5" t="s">
        <v>22</v>
      </c>
      <c r="D47" s="12">
        <v>45</v>
      </c>
      <c r="E47" s="12">
        <v>50</v>
      </c>
      <c r="F47" s="12">
        <v>62</v>
      </c>
      <c r="G47" s="12">
        <v>47</v>
      </c>
      <c r="H47" s="12">
        <v>46</v>
      </c>
      <c r="I47" s="12">
        <v>45</v>
      </c>
      <c r="J47" s="12">
        <v>48</v>
      </c>
      <c r="K47" s="12">
        <v>55</v>
      </c>
      <c r="L47" s="12">
        <v>27</v>
      </c>
      <c r="M47" s="12">
        <v>35</v>
      </c>
      <c r="N47" s="12">
        <v>24</v>
      </c>
      <c r="O47" s="12">
        <v>41</v>
      </c>
      <c r="P47" s="12">
        <v>19</v>
      </c>
      <c r="Q47" s="12">
        <v>0</v>
      </c>
      <c r="AA47" s="17"/>
      <c r="AM47" s="17"/>
      <c r="AY47" s="17"/>
      <c r="BK47" s="17"/>
      <c r="BW47" s="17"/>
      <c r="CI47" s="17"/>
      <c r="CU47" s="17"/>
      <c r="DG47" s="17"/>
      <c r="DS47" s="17"/>
      <c r="EE47" s="17"/>
      <c r="EQ47" s="17"/>
      <c r="FC47" s="33"/>
      <c r="FD47" s="33"/>
      <c r="FE47" s="33"/>
      <c r="FF47" s="24"/>
      <c r="FG47" s="24"/>
      <c r="FH47" s="24"/>
      <c r="FI47" s="24"/>
      <c r="FJ47" s="24"/>
      <c r="FK47" s="24"/>
      <c r="FL47" s="24"/>
      <c r="FM47" s="24"/>
      <c r="FN47" s="17"/>
      <c r="FZ47" s="17"/>
    </row>
    <row r="48" spans="1:193" ht="14.25" customHeight="1">
      <c r="C48" s="5" t="s">
        <v>23</v>
      </c>
      <c r="D48" s="30">
        <v>22</v>
      </c>
      <c r="E48" s="30">
        <v>21</v>
      </c>
      <c r="F48" s="30">
        <v>32</v>
      </c>
      <c r="G48" s="30">
        <v>22</v>
      </c>
      <c r="H48" s="30">
        <v>21</v>
      </c>
      <c r="I48" s="30">
        <v>29</v>
      </c>
      <c r="J48" s="30">
        <v>35</v>
      </c>
      <c r="K48" s="30">
        <v>19</v>
      </c>
      <c r="L48" s="30">
        <v>19</v>
      </c>
      <c r="M48" s="30">
        <v>16</v>
      </c>
      <c r="N48" s="30">
        <v>23</v>
      </c>
      <c r="O48" s="42">
        <v>17</v>
      </c>
      <c r="P48" s="30">
        <v>9</v>
      </c>
      <c r="Q48" s="30">
        <v>0</v>
      </c>
      <c r="AA48" s="17"/>
      <c r="AM48" s="17"/>
      <c r="AY48" s="17"/>
      <c r="BK48" s="17"/>
      <c r="BW48" s="17"/>
      <c r="CI48" s="17"/>
      <c r="CU48" s="17"/>
      <c r="DG48" s="17"/>
      <c r="DS48" s="17"/>
      <c r="EE48" s="17"/>
      <c r="EQ48" s="17"/>
      <c r="FC48" s="33"/>
      <c r="FD48" s="33"/>
      <c r="FE48" s="33"/>
      <c r="FF48" s="24"/>
      <c r="FG48" s="24"/>
      <c r="FH48" s="24"/>
      <c r="FI48" s="24"/>
      <c r="FJ48" s="24"/>
      <c r="FK48" s="24"/>
      <c r="FL48" s="24"/>
      <c r="FM48" s="24"/>
      <c r="FN48" s="17"/>
      <c r="FZ48" s="17"/>
    </row>
    <row r="49" spans="1:193" ht="14.25" customHeight="1">
      <c r="C49" s="1" t="s">
        <v>24</v>
      </c>
      <c r="D49" s="30">
        <v>2</v>
      </c>
      <c r="E49" s="30">
        <v>4</v>
      </c>
      <c r="F49" s="30">
        <v>2</v>
      </c>
      <c r="G49" s="30">
        <v>3</v>
      </c>
      <c r="H49" s="30">
        <v>1</v>
      </c>
      <c r="I49" s="30">
        <v>5</v>
      </c>
      <c r="J49" s="30">
        <v>7</v>
      </c>
      <c r="K49" s="30">
        <v>1</v>
      </c>
      <c r="L49" s="30">
        <v>2</v>
      </c>
      <c r="M49" s="30">
        <v>0</v>
      </c>
      <c r="N49" s="30">
        <v>2</v>
      </c>
      <c r="O49" s="42">
        <v>1</v>
      </c>
      <c r="P49" s="30">
        <v>0</v>
      </c>
      <c r="Q49" s="30">
        <v>0</v>
      </c>
      <c r="AA49" s="17"/>
      <c r="AM49" s="17"/>
      <c r="AY49" s="17"/>
      <c r="BK49" s="17"/>
      <c r="BW49" s="17"/>
      <c r="CI49" s="17"/>
      <c r="CU49" s="17"/>
      <c r="DG49" s="17"/>
      <c r="DS49" s="17"/>
      <c r="EE49" s="17"/>
      <c r="EQ49" s="17"/>
      <c r="FC49" s="33"/>
      <c r="FD49" s="33"/>
      <c r="FE49" s="33"/>
      <c r="FF49" s="24"/>
      <c r="FG49" s="24"/>
      <c r="FH49" s="24"/>
      <c r="FI49" s="24"/>
      <c r="FJ49" s="24"/>
      <c r="FK49" s="24"/>
      <c r="FL49" s="24"/>
      <c r="FM49" s="24"/>
      <c r="FN49" s="17"/>
      <c r="FZ49" s="17"/>
    </row>
    <row r="50" spans="1:193" ht="14.25" customHeight="1">
      <c r="C50" s="1" t="s">
        <v>25</v>
      </c>
      <c r="D50" s="30">
        <v>3</v>
      </c>
      <c r="E50" s="30">
        <v>4</v>
      </c>
      <c r="F50" s="30">
        <v>11</v>
      </c>
      <c r="G50" s="30">
        <v>11</v>
      </c>
      <c r="H50" s="30">
        <v>4</v>
      </c>
      <c r="I50" s="30">
        <v>3</v>
      </c>
      <c r="J50" s="30">
        <v>1</v>
      </c>
      <c r="K50" s="30">
        <v>4</v>
      </c>
      <c r="L50" s="30">
        <v>3</v>
      </c>
      <c r="M50" s="30">
        <v>0</v>
      </c>
      <c r="N50" s="30">
        <v>0</v>
      </c>
      <c r="O50" s="42">
        <v>1</v>
      </c>
      <c r="P50" s="30">
        <v>2</v>
      </c>
      <c r="Q50" s="30">
        <v>0</v>
      </c>
      <c r="AA50" s="17"/>
      <c r="AM50" s="17"/>
      <c r="AY50" s="17"/>
      <c r="BK50" s="17"/>
      <c r="BW50" s="17"/>
      <c r="CI50" s="17"/>
      <c r="CU50" s="17"/>
      <c r="DG50" s="17"/>
      <c r="DS50" s="17"/>
      <c r="EE50" s="17"/>
      <c r="EQ50" s="17"/>
      <c r="FC50" s="33"/>
      <c r="FD50" s="33"/>
      <c r="FE50" s="33"/>
      <c r="FF50" s="24"/>
      <c r="FG50" s="24"/>
      <c r="FH50" s="24"/>
      <c r="FI50" s="24"/>
      <c r="FJ50" s="24"/>
      <c r="FK50" s="24"/>
      <c r="FL50" s="24"/>
      <c r="FM50" s="24"/>
      <c r="FN50" s="17"/>
      <c r="FZ50" s="17"/>
    </row>
    <row r="51" spans="1:193" ht="14.25" customHeight="1">
      <c r="C51" s="1" t="s">
        <v>26</v>
      </c>
      <c r="D51" s="30">
        <v>37</v>
      </c>
      <c r="E51" s="30">
        <v>39</v>
      </c>
      <c r="F51" s="30">
        <v>53</v>
      </c>
      <c r="G51" s="30">
        <v>51</v>
      </c>
      <c r="H51" s="30">
        <v>45</v>
      </c>
      <c r="I51" s="30">
        <v>52</v>
      </c>
      <c r="J51" s="30">
        <v>50</v>
      </c>
      <c r="K51" s="30">
        <v>59</v>
      </c>
      <c r="L51" s="30">
        <v>38</v>
      </c>
      <c r="M51" s="30">
        <v>44</v>
      </c>
      <c r="N51" s="30">
        <v>55</v>
      </c>
      <c r="O51" s="42">
        <v>28</v>
      </c>
      <c r="P51" s="30">
        <v>9</v>
      </c>
      <c r="Q51" s="30">
        <v>0</v>
      </c>
      <c r="AA51" s="17"/>
      <c r="AM51" s="17"/>
      <c r="AY51" s="17"/>
      <c r="BK51" s="17"/>
      <c r="BW51" s="17"/>
      <c r="CI51" s="17"/>
      <c r="CU51" s="17"/>
      <c r="DG51" s="17"/>
      <c r="DS51" s="17"/>
      <c r="EE51" s="17"/>
      <c r="EQ51" s="17"/>
      <c r="FC51" s="33"/>
      <c r="FD51" s="33"/>
      <c r="FE51" s="33"/>
      <c r="FF51" s="24"/>
      <c r="FG51" s="24"/>
      <c r="FH51" s="24"/>
      <c r="FI51" s="24"/>
      <c r="FJ51" s="24"/>
      <c r="FK51" s="24"/>
      <c r="FL51" s="24"/>
      <c r="FM51" s="24"/>
      <c r="FN51" s="17"/>
      <c r="FZ51" s="17"/>
    </row>
    <row r="52" spans="1:193" ht="14.25" customHeight="1">
      <c r="C52" s="1" t="s">
        <v>27</v>
      </c>
      <c r="D52" s="30">
        <v>80</v>
      </c>
      <c r="E52" s="30">
        <v>85</v>
      </c>
      <c r="F52" s="30">
        <v>65</v>
      </c>
      <c r="G52" s="30">
        <v>64</v>
      </c>
      <c r="H52" s="30">
        <v>88</v>
      </c>
      <c r="I52" s="30">
        <v>122</v>
      </c>
      <c r="J52" s="30">
        <v>93</v>
      </c>
      <c r="K52" s="30">
        <v>109</v>
      </c>
      <c r="L52" s="30">
        <v>91</v>
      </c>
      <c r="M52" s="30">
        <v>94</v>
      </c>
      <c r="N52" s="30">
        <v>142</v>
      </c>
      <c r="O52" s="42">
        <v>91</v>
      </c>
      <c r="P52" s="30">
        <v>25</v>
      </c>
      <c r="Q52" s="30">
        <v>2</v>
      </c>
      <c r="AA52" s="17"/>
      <c r="AM52" s="17"/>
      <c r="AY52" s="17"/>
      <c r="BK52" s="17"/>
      <c r="BW52" s="17"/>
      <c r="CI52" s="17"/>
      <c r="CU52" s="17"/>
      <c r="DG52" s="17"/>
      <c r="DS52" s="17"/>
      <c r="EE52" s="17"/>
      <c r="EQ52" s="17"/>
      <c r="FC52" s="33"/>
      <c r="FD52" s="33"/>
      <c r="FE52" s="33"/>
      <c r="FF52" s="24"/>
      <c r="FG52" s="24"/>
      <c r="FH52" s="24"/>
      <c r="FI52" s="24"/>
      <c r="FJ52" s="24"/>
      <c r="FK52" s="24"/>
      <c r="FL52" s="24"/>
      <c r="FM52" s="24"/>
      <c r="FN52" s="17"/>
      <c r="FZ52" s="17"/>
    </row>
    <row r="53" spans="1:193" ht="14.25" customHeight="1">
      <c r="C53" s="1" t="s">
        <v>28</v>
      </c>
      <c r="D53" s="30">
        <v>133</v>
      </c>
      <c r="E53" s="30">
        <v>118</v>
      </c>
      <c r="F53" s="30">
        <v>97</v>
      </c>
      <c r="G53" s="30">
        <v>111</v>
      </c>
      <c r="H53" s="30">
        <v>135</v>
      </c>
      <c r="I53" s="30">
        <v>168</v>
      </c>
      <c r="J53" s="30">
        <v>143</v>
      </c>
      <c r="K53" s="30">
        <v>193</v>
      </c>
      <c r="L53" s="30">
        <v>139</v>
      </c>
      <c r="M53" s="30">
        <v>127</v>
      </c>
      <c r="N53" s="30">
        <v>167</v>
      </c>
      <c r="O53" s="42">
        <v>121</v>
      </c>
      <c r="P53" s="30">
        <v>44</v>
      </c>
      <c r="Q53" s="30">
        <v>2</v>
      </c>
      <c r="AA53" s="17"/>
      <c r="AM53" s="17"/>
      <c r="AY53" s="17"/>
      <c r="BK53" s="17"/>
      <c r="BW53" s="17"/>
      <c r="CI53" s="17"/>
      <c r="CU53" s="17"/>
      <c r="DG53" s="17"/>
      <c r="DS53" s="17"/>
      <c r="EE53" s="17"/>
      <c r="EQ53" s="17"/>
      <c r="FC53" s="33"/>
      <c r="FD53" s="33"/>
      <c r="FE53" s="33"/>
      <c r="FF53" s="24"/>
      <c r="FG53" s="24"/>
      <c r="FH53" s="24"/>
      <c r="FI53" s="24"/>
      <c r="FJ53" s="24"/>
      <c r="FK53" s="24"/>
      <c r="FL53" s="24"/>
      <c r="FM53" s="24"/>
      <c r="FN53" s="17"/>
      <c r="FZ53" s="17"/>
    </row>
    <row r="54" spans="1:193" ht="14.25" customHeight="1">
      <c r="C54" s="1" t="s">
        <v>29</v>
      </c>
      <c r="D54" s="30">
        <v>30</v>
      </c>
      <c r="E54" s="30">
        <v>26</v>
      </c>
      <c r="F54" s="30">
        <v>21</v>
      </c>
      <c r="G54" s="30">
        <v>14</v>
      </c>
      <c r="H54" s="30">
        <v>40</v>
      </c>
      <c r="I54" s="30">
        <v>105</v>
      </c>
      <c r="J54" s="30">
        <v>32</v>
      </c>
      <c r="K54" s="30">
        <v>51</v>
      </c>
      <c r="L54" s="30">
        <v>47</v>
      </c>
      <c r="M54" s="30">
        <v>69</v>
      </c>
      <c r="N54" s="30">
        <v>43</v>
      </c>
      <c r="O54" s="42">
        <v>28</v>
      </c>
      <c r="P54" s="30">
        <v>10</v>
      </c>
      <c r="Q54" s="30">
        <v>0</v>
      </c>
      <c r="AA54" s="17"/>
      <c r="AM54" s="17"/>
      <c r="AY54" s="17"/>
      <c r="BK54" s="17"/>
      <c r="BW54" s="17"/>
      <c r="CI54" s="17"/>
      <c r="CU54" s="17"/>
      <c r="DG54" s="17"/>
      <c r="DS54" s="17"/>
      <c r="EE54" s="17"/>
      <c r="EQ54" s="17"/>
      <c r="FC54" s="33"/>
      <c r="FD54" s="33"/>
      <c r="FE54" s="33"/>
      <c r="FF54" s="24"/>
      <c r="FG54" s="24"/>
      <c r="FH54" s="24"/>
      <c r="FI54" s="24"/>
      <c r="FJ54" s="24"/>
      <c r="FK54" s="24"/>
      <c r="FL54" s="24"/>
      <c r="FM54" s="24"/>
      <c r="FN54" s="17"/>
      <c r="FZ54" s="17"/>
    </row>
    <row r="55" spans="1:193" ht="14.25" customHeight="1">
      <c r="A55" s="35">
        <v>121</v>
      </c>
      <c r="B55" s="35" t="s">
        <v>41</v>
      </c>
      <c r="C55" s="36" t="s">
        <v>18</v>
      </c>
      <c r="D55" s="35">
        <v>91</v>
      </c>
      <c r="E55" s="35">
        <v>92</v>
      </c>
      <c r="F55" s="35">
        <v>85</v>
      </c>
      <c r="G55" s="35">
        <v>86</v>
      </c>
      <c r="H55" s="35">
        <v>93</v>
      </c>
      <c r="I55" s="35">
        <v>90</v>
      </c>
      <c r="J55" s="35">
        <v>110</v>
      </c>
      <c r="K55" s="35">
        <v>92</v>
      </c>
      <c r="L55" s="35">
        <v>76</v>
      </c>
      <c r="M55" s="35">
        <v>76</v>
      </c>
      <c r="N55" s="35">
        <v>100</v>
      </c>
      <c r="O55" s="35">
        <v>95</v>
      </c>
      <c r="P55" s="35">
        <v>92</v>
      </c>
      <c r="Q55" s="35">
        <v>86</v>
      </c>
      <c r="R55" s="35"/>
      <c r="S55" s="35"/>
      <c r="T55" s="35"/>
      <c r="U55" s="35"/>
      <c r="V55" s="35"/>
      <c r="W55" s="35"/>
      <c r="X55" s="35"/>
      <c r="Y55" s="35"/>
      <c r="Z55" s="35"/>
      <c r="AA55" s="36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6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6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6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6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6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6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6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6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6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6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7"/>
      <c r="FD55" s="37"/>
      <c r="FE55" s="37"/>
      <c r="FF55" s="13"/>
      <c r="FG55" s="13"/>
      <c r="FH55" s="13"/>
      <c r="FI55" s="13"/>
      <c r="FJ55" s="13"/>
      <c r="FK55" s="13"/>
      <c r="FL55" s="13"/>
      <c r="FM55" s="13"/>
      <c r="FN55" s="36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6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</row>
    <row r="56" spans="1:193" ht="14.25" customHeight="1">
      <c r="C56" s="1" t="s">
        <v>19</v>
      </c>
      <c r="D56" s="12">
        <v>5</v>
      </c>
      <c r="E56" s="12">
        <v>8</v>
      </c>
      <c r="F56" s="12">
        <v>10</v>
      </c>
      <c r="G56" s="12">
        <v>9</v>
      </c>
      <c r="H56" s="12">
        <v>12</v>
      </c>
      <c r="I56" s="12">
        <v>11</v>
      </c>
      <c r="J56" s="12">
        <v>12</v>
      </c>
      <c r="K56" s="12">
        <v>10</v>
      </c>
      <c r="L56" s="12">
        <v>8</v>
      </c>
      <c r="M56" s="12">
        <v>15</v>
      </c>
      <c r="N56" s="12">
        <v>21</v>
      </c>
      <c r="O56" s="17">
        <v>14</v>
      </c>
      <c r="P56" s="12">
        <v>8</v>
      </c>
      <c r="Q56" s="12">
        <v>10</v>
      </c>
      <c r="AA56" s="17"/>
      <c r="AM56" s="17"/>
      <c r="AY56" s="17"/>
      <c r="BK56" s="17"/>
      <c r="BW56" s="17"/>
      <c r="CI56" s="17"/>
      <c r="CU56" s="17"/>
      <c r="DG56" s="17"/>
      <c r="DS56" s="17"/>
      <c r="EE56" s="17"/>
      <c r="EQ56" s="17"/>
      <c r="FC56" s="33"/>
      <c r="FD56" s="33"/>
      <c r="FE56" s="33"/>
      <c r="FF56" s="24"/>
      <c r="FG56" s="24"/>
      <c r="FH56" s="24"/>
      <c r="FI56" s="24"/>
      <c r="FJ56" s="24"/>
      <c r="FK56" s="24"/>
      <c r="FL56" s="24"/>
      <c r="FM56" s="24"/>
      <c r="FN56" s="17"/>
      <c r="FZ56" s="17"/>
    </row>
    <row r="57" spans="1:193" ht="14.25" customHeight="1">
      <c r="C57" s="1" t="s">
        <v>20</v>
      </c>
      <c r="D57" s="12">
        <v>7</v>
      </c>
      <c r="E57" s="12">
        <v>0</v>
      </c>
      <c r="F57" s="12">
        <v>0</v>
      </c>
      <c r="G57" s="12">
        <v>2</v>
      </c>
      <c r="H57" s="12">
        <v>6</v>
      </c>
      <c r="I57" s="12">
        <v>1</v>
      </c>
      <c r="J57" s="12">
        <v>5</v>
      </c>
      <c r="K57" s="12">
        <v>1</v>
      </c>
      <c r="L57" s="12">
        <v>4</v>
      </c>
      <c r="M57" s="12">
        <v>5</v>
      </c>
      <c r="N57" s="12">
        <v>1</v>
      </c>
      <c r="O57" s="12">
        <v>0</v>
      </c>
      <c r="P57" s="12">
        <v>1</v>
      </c>
      <c r="Q57" s="12">
        <v>5</v>
      </c>
      <c r="AA57" s="17"/>
      <c r="AM57" s="17"/>
      <c r="AY57" s="17"/>
      <c r="BK57" s="17"/>
      <c r="BW57" s="17"/>
      <c r="CI57" s="17"/>
      <c r="CU57" s="17"/>
      <c r="DG57" s="17"/>
      <c r="DS57" s="17"/>
      <c r="EE57" s="17"/>
      <c r="EQ57" s="17"/>
      <c r="FC57" s="33"/>
      <c r="FD57" s="33"/>
      <c r="FE57" s="33"/>
      <c r="FF57" s="24"/>
      <c r="FG57" s="24"/>
      <c r="FH57" s="24"/>
      <c r="FI57" s="24"/>
      <c r="FJ57" s="24"/>
      <c r="FK57" s="24"/>
      <c r="FL57" s="24"/>
      <c r="FM57" s="24"/>
      <c r="FN57" s="17"/>
      <c r="FZ57" s="17"/>
    </row>
    <row r="58" spans="1:193" ht="14.25" customHeight="1">
      <c r="C58" s="1" t="s">
        <v>21</v>
      </c>
      <c r="D58" s="12">
        <v>45</v>
      </c>
      <c r="E58" s="12">
        <v>43</v>
      </c>
      <c r="F58" s="12">
        <v>17</v>
      </c>
      <c r="G58" s="12">
        <v>18</v>
      </c>
      <c r="H58" s="12">
        <v>13</v>
      </c>
      <c r="I58" s="12">
        <v>16</v>
      </c>
      <c r="J58" s="12">
        <v>23</v>
      </c>
      <c r="K58" s="12">
        <v>27</v>
      </c>
      <c r="L58" s="12">
        <v>19</v>
      </c>
      <c r="M58" s="12">
        <v>19</v>
      </c>
      <c r="N58" s="12">
        <v>34</v>
      </c>
      <c r="O58" s="12">
        <v>32</v>
      </c>
      <c r="P58" s="12">
        <v>30</v>
      </c>
      <c r="Q58" s="12">
        <v>38</v>
      </c>
      <c r="AA58" s="17"/>
      <c r="AM58" s="17"/>
      <c r="AY58" s="17"/>
      <c r="BK58" s="17"/>
      <c r="BW58" s="17"/>
      <c r="CI58" s="17"/>
      <c r="CU58" s="17"/>
      <c r="DG58" s="17"/>
      <c r="DS58" s="17"/>
      <c r="EE58" s="17"/>
      <c r="EQ58" s="17"/>
      <c r="FC58" s="33"/>
      <c r="FD58" s="33"/>
      <c r="FE58" s="33"/>
      <c r="FF58" s="24"/>
      <c r="FG58" s="24"/>
      <c r="FH58" s="24"/>
      <c r="FI58" s="24"/>
      <c r="FJ58" s="24"/>
      <c r="FK58" s="24"/>
      <c r="FL58" s="24"/>
      <c r="FM58" s="24"/>
      <c r="FN58" s="17"/>
      <c r="FZ58" s="17"/>
    </row>
    <row r="59" spans="1:193" ht="14.25" customHeight="1">
      <c r="C59" s="1" t="s">
        <v>45</v>
      </c>
      <c r="O59" s="17"/>
      <c r="AA59" s="17"/>
      <c r="AM59" s="17"/>
      <c r="AY59" s="17"/>
      <c r="BK59" s="17"/>
      <c r="BW59" s="17"/>
      <c r="CI59" s="17"/>
      <c r="CU59" s="17"/>
      <c r="DG59" s="17"/>
      <c r="DS59" s="17"/>
      <c r="EE59" s="17"/>
      <c r="EQ59" s="17"/>
      <c r="FC59" s="33"/>
      <c r="FD59" s="33"/>
      <c r="FE59" s="33"/>
      <c r="FF59" s="24"/>
      <c r="FG59" s="24"/>
      <c r="FH59" s="24"/>
      <c r="FI59" s="24"/>
      <c r="FJ59" s="24"/>
      <c r="FK59" s="24"/>
      <c r="FL59" s="24"/>
      <c r="FM59" s="24"/>
      <c r="FN59" s="17"/>
      <c r="FZ59" s="17"/>
    </row>
    <row r="60" spans="1:193" ht="14.25" customHeight="1">
      <c r="C60" s="38" t="s">
        <v>22</v>
      </c>
      <c r="D60" s="12">
        <v>23</v>
      </c>
      <c r="E60" s="12">
        <v>25</v>
      </c>
      <c r="F60" s="12">
        <v>26</v>
      </c>
      <c r="G60" s="12">
        <v>25</v>
      </c>
      <c r="H60" s="12">
        <v>15</v>
      </c>
      <c r="I60" s="12">
        <v>20</v>
      </c>
      <c r="J60" s="12">
        <v>25</v>
      </c>
      <c r="K60" s="12">
        <v>23</v>
      </c>
      <c r="L60" s="12">
        <v>25</v>
      </c>
      <c r="M60" s="12">
        <v>24</v>
      </c>
      <c r="N60" s="12">
        <v>20</v>
      </c>
      <c r="O60" s="12">
        <v>31</v>
      </c>
      <c r="P60" s="12">
        <v>26</v>
      </c>
      <c r="Q60" s="12">
        <v>16</v>
      </c>
      <c r="AA60" s="17"/>
      <c r="AM60" s="17"/>
      <c r="AY60" s="17"/>
      <c r="BK60" s="17"/>
      <c r="BW60" s="17"/>
      <c r="CI60" s="17"/>
      <c r="CU60" s="17"/>
      <c r="DG60" s="17"/>
      <c r="DS60" s="17"/>
      <c r="EE60" s="17"/>
      <c r="EQ60" s="17"/>
      <c r="FC60" s="33"/>
      <c r="FD60" s="33"/>
      <c r="FE60" s="33"/>
      <c r="FF60" s="24"/>
      <c r="FG60" s="24"/>
      <c r="FH60" s="24"/>
      <c r="FI60" s="24"/>
      <c r="FJ60" s="24"/>
      <c r="FK60" s="24"/>
      <c r="FL60" s="24"/>
      <c r="FM60" s="24"/>
      <c r="FN60" s="17"/>
      <c r="FZ60" s="17"/>
    </row>
    <row r="61" spans="1:193" ht="14.25" customHeight="1">
      <c r="C61" s="38" t="s">
        <v>23</v>
      </c>
      <c r="D61" s="30">
        <v>6</v>
      </c>
      <c r="E61" s="30">
        <v>3</v>
      </c>
      <c r="F61" s="30">
        <v>10</v>
      </c>
      <c r="G61" s="30">
        <v>6</v>
      </c>
      <c r="H61" s="30">
        <v>5</v>
      </c>
      <c r="I61" s="30">
        <v>6</v>
      </c>
      <c r="J61" s="30">
        <v>5</v>
      </c>
      <c r="K61" s="30">
        <v>7</v>
      </c>
      <c r="L61" s="30">
        <v>8</v>
      </c>
      <c r="M61" s="30">
        <v>9</v>
      </c>
      <c r="N61" s="30">
        <v>7</v>
      </c>
      <c r="O61" s="42">
        <v>3</v>
      </c>
      <c r="P61" s="30">
        <v>7</v>
      </c>
      <c r="Q61" s="30">
        <v>31</v>
      </c>
      <c r="AA61" s="17"/>
      <c r="AM61" s="17"/>
      <c r="AY61" s="17"/>
      <c r="BK61" s="17"/>
      <c r="BW61" s="17"/>
      <c r="CI61" s="17"/>
      <c r="CU61" s="17"/>
      <c r="DG61" s="17"/>
      <c r="DS61" s="17"/>
      <c r="EE61" s="17"/>
      <c r="EQ61" s="17"/>
      <c r="FC61" s="33"/>
      <c r="FD61" s="33"/>
      <c r="FE61" s="33"/>
      <c r="FF61" s="24"/>
      <c r="FG61" s="24"/>
      <c r="FH61" s="24"/>
      <c r="FI61" s="24"/>
      <c r="FJ61" s="24"/>
      <c r="FK61" s="24"/>
      <c r="FL61" s="24"/>
      <c r="FM61" s="24"/>
      <c r="FN61" s="17"/>
      <c r="FZ61" s="17"/>
    </row>
    <row r="62" spans="1:193" ht="14.25" customHeight="1">
      <c r="C62" s="1" t="s">
        <v>24</v>
      </c>
      <c r="D62" s="30">
        <v>4</v>
      </c>
      <c r="E62" s="30">
        <v>3</v>
      </c>
      <c r="F62" s="30">
        <v>0</v>
      </c>
      <c r="G62" s="30">
        <v>1</v>
      </c>
      <c r="H62" s="30">
        <v>1</v>
      </c>
      <c r="I62" s="30">
        <v>0</v>
      </c>
      <c r="J62" s="30">
        <v>2</v>
      </c>
      <c r="K62" s="30">
        <v>1</v>
      </c>
      <c r="L62" s="30">
        <v>3</v>
      </c>
      <c r="M62" s="30">
        <v>1</v>
      </c>
      <c r="N62" s="30">
        <v>3</v>
      </c>
      <c r="O62" s="42">
        <v>0</v>
      </c>
      <c r="P62" s="30">
        <v>1</v>
      </c>
      <c r="Q62" s="30">
        <v>1</v>
      </c>
      <c r="AA62" s="17"/>
      <c r="AM62" s="17"/>
      <c r="AY62" s="17"/>
      <c r="BK62" s="17"/>
      <c r="BW62" s="17"/>
      <c r="CI62" s="17"/>
      <c r="CU62" s="17"/>
      <c r="DG62" s="17"/>
      <c r="DS62" s="17"/>
      <c r="EE62" s="17"/>
      <c r="EQ62" s="17"/>
      <c r="FC62" s="33"/>
      <c r="FD62" s="33"/>
      <c r="FE62" s="33"/>
      <c r="FF62" s="24"/>
      <c r="FG62" s="24"/>
      <c r="FH62" s="24"/>
      <c r="FI62" s="24"/>
      <c r="FJ62" s="24"/>
      <c r="FK62" s="24"/>
      <c r="FL62" s="24"/>
      <c r="FM62" s="24"/>
      <c r="FN62" s="17"/>
      <c r="FZ62" s="17"/>
    </row>
    <row r="63" spans="1:193" ht="14.25" customHeight="1">
      <c r="C63" s="1" t="s">
        <v>25</v>
      </c>
      <c r="D63" s="30">
        <v>1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1</v>
      </c>
      <c r="N63" s="30">
        <v>0</v>
      </c>
      <c r="O63" s="42">
        <v>0</v>
      </c>
      <c r="P63" s="30">
        <v>0</v>
      </c>
      <c r="Q63" s="30">
        <v>0</v>
      </c>
      <c r="S63" s="1"/>
      <c r="AA63" s="17"/>
      <c r="AM63" s="17"/>
      <c r="AY63" s="17"/>
      <c r="BK63" s="17"/>
      <c r="BW63" s="17"/>
      <c r="CI63" s="17"/>
      <c r="CU63" s="17"/>
      <c r="DG63" s="17"/>
      <c r="DS63" s="17"/>
      <c r="EE63" s="17"/>
      <c r="EQ63" s="17"/>
      <c r="FC63" s="33"/>
      <c r="FD63" s="33"/>
      <c r="FE63" s="33"/>
      <c r="FF63" s="24"/>
      <c r="FG63" s="24"/>
      <c r="FH63" s="24"/>
      <c r="FI63" s="24"/>
      <c r="FJ63" s="24"/>
      <c r="FK63" s="24"/>
      <c r="FL63" s="24"/>
      <c r="FM63" s="24"/>
      <c r="FN63" s="17"/>
      <c r="FZ63" s="17"/>
    </row>
    <row r="64" spans="1:193" ht="14.25" customHeight="1">
      <c r="C64" s="1" t="s">
        <v>26</v>
      </c>
      <c r="D64" s="30">
        <v>7</v>
      </c>
      <c r="E64" s="30">
        <v>0</v>
      </c>
      <c r="F64" s="30">
        <v>0</v>
      </c>
      <c r="G64" s="30">
        <v>2</v>
      </c>
      <c r="H64" s="30">
        <v>6</v>
      </c>
      <c r="I64" s="30">
        <v>0</v>
      </c>
      <c r="J64" s="30">
        <v>5</v>
      </c>
      <c r="K64" s="30">
        <v>1</v>
      </c>
      <c r="L64" s="30">
        <v>3</v>
      </c>
      <c r="M64" s="30">
        <v>4</v>
      </c>
      <c r="N64" s="30">
        <v>1</v>
      </c>
      <c r="O64" s="42">
        <v>0</v>
      </c>
      <c r="P64" s="30">
        <v>1</v>
      </c>
      <c r="Q64" s="30">
        <v>4</v>
      </c>
      <c r="S64" s="1"/>
      <c r="AA64" s="17"/>
      <c r="AM64" s="17"/>
      <c r="AY64" s="17"/>
      <c r="BK64" s="17"/>
      <c r="BW64" s="17"/>
      <c r="CI64" s="17"/>
      <c r="CU64" s="17"/>
      <c r="DG64" s="17"/>
      <c r="DS64" s="17"/>
      <c r="EE64" s="17"/>
      <c r="EQ64" s="17"/>
      <c r="FC64" s="33"/>
      <c r="FD64" s="33"/>
      <c r="FE64" s="33"/>
      <c r="FF64" s="24"/>
      <c r="FG64" s="24"/>
      <c r="FH64" s="24"/>
      <c r="FI64" s="24"/>
      <c r="FJ64" s="24"/>
      <c r="FK64" s="24"/>
      <c r="FL64" s="24"/>
      <c r="FM64" s="24"/>
      <c r="FN64" s="17"/>
      <c r="FZ64" s="17"/>
    </row>
    <row r="65" spans="1:193" ht="14.25" customHeight="1">
      <c r="C65" s="1" t="s">
        <v>27</v>
      </c>
      <c r="D65" s="30">
        <v>5</v>
      </c>
      <c r="E65" s="30">
        <v>7</v>
      </c>
      <c r="F65" s="30">
        <v>10</v>
      </c>
      <c r="G65" s="30">
        <v>9</v>
      </c>
      <c r="H65" s="30">
        <v>12</v>
      </c>
      <c r="I65" s="30">
        <v>11</v>
      </c>
      <c r="J65" s="30">
        <v>12</v>
      </c>
      <c r="K65" s="30">
        <v>19</v>
      </c>
      <c r="L65" s="30">
        <v>8</v>
      </c>
      <c r="M65" s="30">
        <v>14</v>
      </c>
      <c r="N65" s="30">
        <v>20</v>
      </c>
      <c r="O65" s="42">
        <v>13</v>
      </c>
      <c r="P65" s="30">
        <v>7</v>
      </c>
      <c r="Q65" s="30">
        <v>9</v>
      </c>
      <c r="S65" s="1"/>
      <c r="AA65" s="17"/>
      <c r="AM65" s="17"/>
      <c r="AY65" s="17"/>
      <c r="BK65" s="17"/>
      <c r="BW65" s="17"/>
      <c r="CI65" s="17"/>
      <c r="CU65" s="17"/>
      <c r="DG65" s="17"/>
      <c r="DS65" s="17"/>
      <c r="EE65" s="17"/>
      <c r="EQ65" s="17"/>
      <c r="FC65" s="33"/>
      <c r="FD65" s="33"/>
      <c r="FE65" s="33"/>
      <c r="FF65" s="24"/>
      <c r="FG65" s="24"/>
      <c r="FH65" s="24"/>
      <c r="FI65" s="24"/>
      <c r="FJ65" s="24"/>
      <c r="FK65" s="24"/>
      <c r="FL65" s="24"/>
      <c r="FM65" s="24"/>
      <c r="FN65" s="17"/>
      <c r="FZ65" s="17"/>
    </row>
    <row r="66" spans="1:193" ht="14.25" customHeight="1">
      <c r="C66" s="1" t="s">
        <v>28</v>
      </c>
      <c r="D66" s="30">
        <v>10</v>
      </c>
      <c r="E66" s="30">
        <v>12</v>
      </c>
      <c r="F66" s="30">
        <v>42</v>
      </c>
      <c r="G66" s="30">
        <v>26</v>
      </c>
      <c r="H66" s="30">
        <v>44</v>
      </c>
      <c r="I66" s="30">
        <v>50</v>
      </c>
      <c r="J66" s="30">
        <v>60</v>
      </c>
      <c r="K66" s="30">
        <v>53</v>
      </c>
      <c r="L66" s="30">
        <v>32</v>
      </c>
      <c r="M66" s="30">
        <v>33</v>
      </c>
      <c r="N66" s="30">
        <v>47</v>
      </c>
      <c r="O66" s="42">
        <v>35</v>
      </c>
      <c r="P66" s="30">
        <v>27</v>
      </c>
      <c r="Q66" s="30">
        <v>21</v>
      </c>
      <c r="AA66" s="17"/>
      <c r="AM66" s="17"/>
      <c r="AY66" s="17"/>
      <c r="BK66" s="17"/>
      <c r="BW66" s="17"/>
      <c r="CI66" s="17"/>
      <c r="CU66" s="17"/>
      <c r="DG66" s="17"/>
      <c r="DS66" s="17"/>
      <c r="EE66" s="17"/>
      <c r="EQ66" s="17"/>
      <c r="FC66" s="33"/>
      <c r="FD66" s="33"/>
      <c r="FE66" s="33"/>
      <c r="FF66" s="24"/>
      <c r="FG66" s="24"/>
      <c r="FH66" s="24"/>
      <c r="FI66" s="24"/>
      <c r="FJ66" s="24"/>
      <c r="FK66" s="24"/>
      <c r="FL66" s="24"/>
      <c r="FM66" s="24"/>
      <c r="FN66" s="17"/>
      <c r="FZ66" s="17"/>
    </row>
    <row r="67" spans="1:193" ht="14.25" customHeight="1">
      <c r="C67" s="1" t="s">
        <v>29</v>
      </c>
      <c r="D67" s="30">
        <v>35</v>
      </c>
      <c r="E67" s="30">
        <v>14</v>
      </c>
      <c r="F67" s="30">
        <v>48</v>
      </c>
      <c r="G67" s="30">
        <v>64</v>
      </c>
      <c r="H67" s="30">
        <v>75</v>
      </c>
      <c r="I67" s="30">
        <v>71</v>
      </c>
      <c r="J67" s="30">
        <v>59</v>
      </c>
      <c r="K67" s="30">
        <v>52</v>
      </c>
      <c r="L67" s="30">
        <v>42</v>
      </c>
      <c r="M67" s="30">
        <v>28</v>
      </c>
      <c r="N67" s="30">
        <v>46</v>
      </c>
      <c r="O67" s="42">
        <v>32</v>
      </c>
      <c r="P67" s="30">
        <v>37</v>
      </c>
      <c r="Q67" s="30">
        <v>34</v>
      </c>
      <c r="AA67" s="17"/>
      <c r="AM67" s="17"/>
      <c r="AY67" s="17"/>
      <c r="BK67" s="17"/>
      <c r="BW67" s="17"/>
      <c r="CI67" s="17"/>
      <c r="CU67" s="17"/>
      <c r="DG67" s="17"/>
      <c r="DS67" s="17"/>
      <c r="EE67" s="17"/>
      <c r="EQ67" s="17"/>
      <c r="FC67" s="33"/>
      <c r="FD67" s="33"/>
      <c r="FE67" s="33"/>
      <c r="FF67" s="24"/>
      <c r="FG67" s="24"/>
      <c r="FH67" s="24"/>
      <c r="FI67" s="24"/>
      <c r="FJ67" s="24"/>
      <c r="FK67" s="24"/>
      <c r="FL67" s="24"/>
      <c r="FM67" s="24"/>
      <c r="FN67" s="17"/>
      <c r="FZ67" s="17"/>
    </row>
    <row r="68" spans="1:193" ht="14.25" customHeight="1">
      <c r="A68" s="35">
        <v>122</v>
      </c>
      <c r="B68" s="35" t="s">
        <v>42</v>
      </c>
      <c r="C68" s="36" t="s">
        <v>18</v>
      </c>
      <c r="D68" s="35">
        <v>187</v>
      </c>
      <c r="E68" s="35">
        <v>138</v>
      </c>
      <c r="F68" s="35">
        <v>156</v>
      </c>
      <c r="G68" s="35">
        <v>130</v>
      </c>
      <c r="H68" s="35">
        <v>137</v>
      </c>
      <c r="I68" s="35">
        <v>145</v>
      </c>
      <c r="J68" s="35">
        <v>133</v>
      </c>
      <c r="K68" s="35">
        <v>162</v>
      </c>
      <c r="L68" s="35">
        <v>152</v>
      </c>
      <c r="M68" s="35">
        <v>119</v>
      </c>
      <c r="N68" s="35">
        <v>159</v>
      </c>
      <c r="O68" s="35">
        <v>125</v>
      </c>
      <c r="P68" s="35">
        <v>138</v>
      </c>
      <c r="Q68" s="35">
        <v>40</v>
      </c>
      <c r="R68" s="35"/>
      <c r="S68" s="35"/>
      <c r="T68" s="35"/>
      <c r="U68" s="35"/>
      <c r="V68" s="35"/>
      <c r="W68" s="35"/>
      <c r="X68" s="35"/>
      <c r="Y68" s="35"/>
      <c r="Z68" s="35"/>
      <c r="AA68" s="36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6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6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6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6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6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6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6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6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6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6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7"/>
      <c r="FD68" s="37"/>
      <c r="FE68" s="37"/>
      <c r="FF68" s="13"/>
      <c r="FG68" s="13"/>
      <c r="FH68" s="13"/>
      <c r="FI68" s="13"/>
      <c r="FJ68" s="13"/>
      <c r="FK68" s="13"/>
      <c r="FL68" s="13"/>
      <c r="FM68" s="13"/>
      <c r="FN68" s="36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6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</row>
    <row r="69" spans="1:193" ht="14.25" customHeight="1">
      <c r="C69" s="1" t="s">
        <v>19</v>
      </c>
      <c r="D69" s="12">
        <v>47</v>
      </c>
      <c r="E69" s="12">
        <v>35</v>
      </c>
      <c r="F69" s="12">
        <v>40</v>
      </c>
      <c r="G69" s="12">
        <v>23</v>
      </c>
      <c r="H69" s="12">
        <v>41</v>
      </c>
      <c r="I69" s="12">
        <v>58</v>
      </c>
      <c r="J69" s="12">
        <v>61</v>
      </c>
      <c r="K69" s="12">
        <v>77</v>
      </c>
      <c r="L69" s="12">
        <v>58</v>
      </c>
      <c r="M69" s="12">
        <v>38</v>
      </c>
      <c r="N69" s="12">
        <v>78</v>
      </c>
      <c r="O69" s="17">
        <v>46</v>
      </c>
      <c r="P69" s="12">
        <v>46</v>
      </c>
      <c r="Q69" s="12">
        <v>12</v>
      </c>
      <c r="AA69" s="17"/>
      <c r="AM69" s="17"/>
      <c r="AY69" s="17"/>
      <c r="BK69" s="17"/>
      <c r="BW69" s="17"/>
      <c r="CI69" s="17"/>
      <c r="CU69" s="17"/>
      <c r="DG69" s="17"/>
      <c r="DS69" s="17"/>
      <c r="EE69" s="17"/>
      <c r="EQ69" s="17"/>
      <c r="FC69" s="33"/>
      <c r="FD69" s="33"/>
      <c r="FE69" s="33"/>
      <c r="FF69" s="24"/>
      <c r="FG69" s="24"/>
      <c r="FH69" s="24"/>
      <c r="FI69" s="24"/>
      <c r="FJ69" s="24"/>
      <c r="FK69" s="24"/>
      <c r="FL69" s="24"/>
      <c r="FM69" s="24"/>
      <c r="FN69" s="17"/>
      <c r="FZ69" s="17"/>
    </row>
    <row r="70" spans="1:193" ht="14.25" customHeight="1">
      <c r="C70" s="1" t="s">
        <v>20</v>
      </c>
      <c r="D70" s="12">
        <v>4</v>
      </c>
      <c r="E70" s="12">
        <v>4</v>
      </c>
      <c r="F70" s="12">
        <v>13</v>
      </c>
      <c r="G70" s="12">
        <v>8</v>
      </c>
      <c r="H70" s="12">
        <v>14</v>
      </c>
      <c r="I70" s="12">
        <v>21</v>
      </c>
      <c r="J70" s="12">
        <v>22</v>
      </c>
      <c r="K70" s="12">
        <v>18</v>
      </c>
      <c r="L70" s="12">
        <v>25</v>
      </c>
      <c r="M70" s="12">
        <v>14</v>
      </c>
      <c r="N70" s="12">
        <v>21</v>
      </c>
      <c r="O70" s="12">
        <v>12</v>
      </c>
      <c r="P70" s="12">
        <v>19</v>
      </c>
      <c r="Q70" s="12">
        <v>6</v>
      </c>
      <c r="AA70" s="17"/>
      <c r="AM70" s="17"/>
      <c r="AY70" s="17"/>
      <c r="BK70" s="17"/>
      <c r="BW70" s="17"/>
      <c r="CI70" s="17"/>
      <c r="CU70" s="17"/>
      <c r="DG70" s="17"/>
      <c r="DS70" s="17"/>
      <c r="EE70" s="17"/>
      <c r="EQ70" s="17"/>
      <c r="FC70" s="33"/>
      <c r="FD70" s="33"/>
      <c r="FE70" s="33"/>
      <c r="FF70" s="24"/>
      <c r="FG70" s="24"/>
      <c r="FH70" s="24"/>
      <c r="FI70" s="24"/>
      <c r="FJ70" s="24"/>
      <c r="FK70" s="24"/>
      <c r="FL70" s="24"/>
      <c r="FM70" s="24"/>
      <c r="FN70" s="17"/>
      <c r="FZ70" s="17"/>
    </row>
    <row r="71" spans="1:193" ht="14.25" customHeight="1">
      <c r="C71" s="1" t="s">
        <v>21</v>
      </c>
      <c r="D71" s="12">
        <v>138</v>
      </c>
      <c r="E71" s="12">
        <v>93</v>
      </c>
      <c r="F71" s="12">
        <v>111</v>
      </c>
      <c r="G71" s="12">
        <v>97</v>
      </c>
      <c r="H71" s="12">
        <v>91</v>
      </c>
      <c r="I71" s="12">
        <v>113</v>
      </c>
      <c r="J71" s="12">
        <v>94</v>
      </c>
      <c r="K71" s="12">
        <v>106</v>
      </c>
      <c r="L71" s="12">
        <v>90</v>
      </c>
      <c r="M71" s="12">
        <v>79</v>
      </c>
      <c r="N71" s="12">
        <v>118</v>
      </c>
      <c r="O71" s="12">
        <v>92</v>
      </c>
      <c r="P71" s="12">
        <v>90</v>
      </c>
      <c r="Q71" s="12">
        <v>25</v>
      </c>
      <c r="AA71" s="17"/>
      <c r="AM71" s="17"/>
      <c r="AY71" s="17"/>
      <c r="BK71" s="17"/>
      <c r="BW71" s="17"/>
      <c r="CI71" s="17"/>
      <c r="CU71" s="17"/>
      <c r="DG71" s="17"/>
      <c r="DS71" s="17"/>
      <c r="EE71" s="17"/>
      <c r="EQ71" s="17"/>
      <c r="FC71" s="33"/>
      <c r="FD71" s="33"/>
      <c r="FE71" s="33"/>
      <c r="FF71" s="24"/>
      <c r="FG71" s="24"/>
      <c r="FH71" s="24"/>
      <c r="FI71" s="24"/>
      <c r="FJ71" s="24"/>
      <c r="FK71" s="24"/>
      <c r="FL71" s="24"/>
      <c r="FM71" s="24"/>
      <c r="FN71" s="17"/>
      <c r="FZ71" s="17"/>
    </row>
    <row r="72" spans="1:193" ht="14.25" customHeight="1">
      <c r="C72" s="1" t="s">
        <v>45</v>
      </c>
      <c r="O72" s="17"/>
      <c r="AA72" s="17"/>
      <c r="AM72" s="17"/>
      <c r="AY72" s="17"/>
      <c r="BK72" s="17"/>
      <c r="BW72" s="17"/>
      <c r="CI72" s="17"/>
      <c r="CU72" s="17"/>
      <c r="DG72" s="17"/>
      <c r="DS72" s="17"/>
      <c r="EE72" s="17"/>
      <c r="EQ72" s="17"/>
      <c r="FC72" s="33"/>
      <c r="FD72" s="33"/>
      <c r="FE72" s="33"/>
      <c r="FF72" s="24"/>
      <c r="FG72" s="24"/>
      <c r="FH72" s="24"/>
      <c r="FI72" s="24"/>
      <c r="FJ72" s="24"/>
      <c r="FK72" s="24"/>
      <c r="FL72" s="24"/>
      <c r="FM72" s="24"/>
      <c r="FN72" s="17"/>
      <c r="FZ72" s="17"/>
    </row>
    <row r="73" spans="1:193" ht="14.25" customHeight="1">
      <c r="C73" s="38" t="s">
        <v>22</v>
      </c>
      <c r="D73" s="12">
        <v>12</v>
      </c>
      <c r="E73" s="12">
        <v>14</v>
      </c>
      <c r="F73" s="12">
        <v>21</v>
      </c>
      <c r="G73" s="12">
        <v>20</v>
      </c>
      <c r="H73" s="12">
        <v>20</v>
      </c>
      <c r="I73" s="12">
        <v>15</v>
      </c>
      <c r="J73" s="12">
        <v>12</v>
      </c>
      <c r="K73" s="12">
        <v>10</v>
      </c>
      <c r="L73" s="12">
        <v>12</v>
      </c>
      <c r="M73" s="12">
        <v>7</v>
      </c>
      <c r="N73" s="12">
        <v>6</v>
      </c>
      <c r="O73" s="12">
        <v>15</v>
      </c>
      <c r="P73" s="12">
        <v>17</v>
      </c>
      <c r="Q73" s="12">
        <v>4</v>
      </c>
      <c r="AA73" s="17"/>
      <c r="AM73" s="17"/>
      <c r="AY73" s="17"/>
      <c r="BK73" s="17"/>
      <c r="BW73" s="17"/>
      <c r="CI73" s="17"/>
      <c r="CU73" s="17"/>
      <c r="DG73" s="17"/>
      <c r="DS73" s="17"/>
      <c r="EE73" s="17"/>
      <c r="EQ73" s="17"/>
      <c r="FC73" s="33"/>
      <c r="FD73" s="33"/>
      <c r="FE73" s="33"/>
      <c r="FF73" s="24"/>
      <c r="FG73" s="24"/>
      <c r="FH73" s="24"/>
      <c r="FI73" s="24"/>
      <c r="FJ73" s="24"/>
      <c r="FK73" s="24"/>
      <c r="FL73" s="24"/>
      <c r="FM73" s="24"/>
      <c r="FN73" s="17"/>
      <c r="FZ73" s="17"/>
    </row>
    <row r="74" spans="1:193" ht="14.25" customHeight="1">
      <c r="C74" s="38" t="s">
        <v>23</v>
      </c>
      <c r="D74" s="30">
        <v>9</v>
      </c>
      <c r="E74" s="30">
        <v>13</v>
      </c>
      <c r="F74" s="30">
        <v>14</v>
      </c>
      <c r="G74" s="30">
        <v>12</v>
      </c>
      <c r="H74" s="30">
        <v>10</v>
      </c>
      <c r="I74" s="30">
        <v>10</v>
      </c>
      <c r="J74" s="30">
        <v>10</v>
      </c>
      <c r="K74" s="30">
        <v>9</v>
      </c>
      <c r="L74" s="30">
        <v>9</v>
      </c>
      <c r="M74" s="30">
        <v>3</v>
      </c>
      <c r="N74" s="30">
        <v>7</v>
      </c>
      <c r="O74" s="42">
        <v>7</v>
      </c>
      <c r="P74" s="30">
        <v>13</v>
      </c>
      <c r="Q74" s="30">
        <v>1</v>
      </c>
      <c r="AA74" s="17"/>
      <c r="AM74" s="17"/>
      <c r="AY74" s="17"/>
      <c r="BK74" s="17"/>
      <c r="BW74" s="17"/>
      <c r="CI74" s="17"/>
      <c r="CU74" s="17"/>
      <c r="DG74" s="17"/>
      <c r="DS74" s="17"/>
      <c r="EE74" s="17"/>
      <c r="EQ74" s="17"/>
      <c r="FC74" s="33"/>
      <c r="FD74" s="33"/>
      <c r="FE74" s="33"/>
      <c r="FF74" s="24"/>
      <c r="FG74" s="24"/>
      <c r="FH74" s="24"/>
      <c r="FI74" s="24"/>
      <c r="FJ74" s="24"/>
      <c r="FK74" s="24"/>
      <c r="FL74" s="24"/>
      <c r="FM74" s="24"/>
      <c r="FN74" s="17"/>
      <c r="FZ74" s="17"/>
    </row>
    <row r="75" spans="1:193" ht="14.25" customHeight="1">
      <c r="C75" s="1" t="s">
        <v>24</v>
      </c>
      <c r="D75" s="30">
        <v>0</v>
      </c>
      <c r="E75" s="30">
        <v>0</v>
      </c>
      <c r="F75" s="30">
        <v>0</v>
      </c>
      <c r="G75" s="30">
        <v>2</v>
      </c>
      <c r="H75" s="30">
        <v>0</v>
      </c>
      <c r="I75" s="30">
        <v>0</v>
      </c>
      <c r="J75" s="30">
        <v>2</v>
      </c>
      <c r="K75" s="30">
        <v>1</v>
      </c>
      <c r="L75" s="30">
        <v>1</v>
      </c>
      <c r="M75" s="30">
        <v>1</v>
      </c>
      <c r="N75" s="30">
        <v>0</v>
      </c>
      <c r="O75" s="42">
        <v>0</v>
      </c>
      <c r="P75" s="30">
        <v>6</v>
      </c>
      <c r="Q75" s="30">
        <v>1</v>
      </c>
      <c r="AA75" s="17"/>
      <c r="AM75" s="17"/>
      <c r="AY75" s="17"/>
      <c r="BK75" s="17"/>
      <c r="BW75" s="17"/>
      <c r="CI75" s="17"/>
      <c r="CU75" s="17"/>
      <c r="DG75" s="17"/>
      <c r="DS75" s="17"/>
      <c r="EE75" s="17"/>
      <c r="EQ75" s="17"/>
      <c r="FC75" s="33"/>
      <c r="FD75" s="33"/>
      <c r="FE75" s="33"/>
      <c r="FF75" s="24"/>
      <c r="FG75" s="24"/>
      <c r="FH75" s="24"/>
      <c r="FI75" s="24"/>
      <c r="FJ75" s="24"/>
      <c r="FK75" s="24"/>
      <c r="FL75" s="24"/>
      <c r="FM75" s="24"/>
      <c r="FN75" s="17"/>
      <c r="FZ75" s="17"/>
    </row>
    <row r="76" spans="1:193" ht="14.25" customHeight="1">
      <c r="C76" s="1" t="s">
        <v>25</v>
      </c>
      <c r="D76" s="30">
        <v>1</v>
      </c>
      <c r="E76" s="30">
        <v>3</v>
      </c>
      <c r="F76" s="30">
        <v>7</v>
      </c>
      <c r="G76" s="30">
        <v>3</v>
      </c>
      <c r="H76" s="30">
        <v>9</v>
      </c>
      <c r="I76" s="30">
        <v>11</v>
      </c>
      <c r="J76" s="30">
        <v>10</v>
      </c>
      <c r="K76" s="30">
        <v>10</v>
      </c>
      <c r="L76" s="30">
        <v>18</v>
      </c>
      <c r="M76" s="30">
        <v>13</v>
      </c>
      <c r="N76" s="30">
        <v>20</v>
      </c>
      <c r="O76" s="42">
        <v>11</v>
      </c>
      <c r="P76" s="30">
        <v>17</v>
      </c>
      <c r="Q76" s="30">
        <v>6</v>
      </c>
      <c r="AA76" s="17"/>
      <c r="AM76" s="17"/>
      <c r="AY76" s="17"/>
      <c r="BK76" s="17"/>
      <c r="BW76" s="17"/>
      <c r="CI76" s="17"/>
      <c r="CU76" s="17"/>
      <c r="DG76" s="17"/>
      <c r="DS76" s="17"/>
      <c r="EE76" s="17"/>
      <c r="EQ76" s="17"/>
      <c r="FC76" s="33"/>
      <c r="FD76" s="33"/>
      <c r="FE76" s="33"/>
      <c r="FF76" s="24"/>
      <c r="FG76" s="24"/>
      <c r="FH76" s="24"/>
      <c r="FI76" s="24"/>
      <c r="FJ76" s="24"/>
      <c r="FK76" s="24"/>
      <c r="FL76" s="24"/>
      <c r="FM76" s="24"/>
      <c r="FN76" s="17"/>
      <c r="FZ76" s="17"/>
    </row>
    <row r="77" spans="1:193" ht="14.25" customHeight="1">
      <c r="C77" s="1" t="s">
        <v>26</v>
      </c>
      <c r="D77" s="30">
        <v>2</v>
      </c>
      <c r="E77" s="30">
        <v>3</v>
      </c>
      <c r="F77" s="30">
        <v>10</v>
      </c>
      <c r="G77" s="30">
        <v>4</v>
      </c>
      <c r="H77" s="30">
        <v>11</v>
      </c>
      <c r="I77" s="30">
        <v>15</v>
      </c>
      <c r="J77" s="30">
        <v>17</v>
      </c>
      <c r="K77" s="30">
        <v>2</v>
      </c>
      <c r="L77" s="30">
        <v>20</v>
      </c>
      <c r="M77" s="30">
        <v>11</v>
      </c>
      <c r="N77" s="30">
        <v>4</v>
      </c>
      <c r="O77" s="42">
        <v>10</v>
      </c>
      <c r="P77" s="30">
        <v>12</v>
      </c>
      <c r="Q77" s="30">
        <v>5</v>
      </c>
      <c r="AA77" s="17"/>
      <c r="AM77" s="17"/>
      <c r="AY77" s="17"/>
      <c r="BK77" s="17"/>
      <c r="BW77" s="17"/>
      <c r="CI77" s="17"/>
      <c r="CU77" s="17"/>
      <c r="DG77" s="17"/>
      <c r="DS77" s="17"/>
      <c r="EE77" s="17"/>
      <c r="EQ77" s="17"/>
      <c r="FC77" s="33"/>
      <c r="FD77" s="33"/>
      <c r="FE77" s="33"/>
      <c r="FF77" s="24"/>
      <c r="FG77" s="24"/>
      <c r="FH77" s="24"/>
      <c r="FI77" s="24"/>
      <c r="FJ77" s="24"/>
      <c r="FK77" s="24"/>
      <c r="FL77" s="24"/>
      <c r="FM77" s="24"/>
      <c r="FN77" s="17"/>
      <c r="FZ77" s="17"/>
    </row>
    <row r="78" spans="1:193" ht="14.25" customHeight="1">
      <c r="C78" s="1" t="s">
        <v>27</v>
      </c>
      <c r="D78" s="30">
        <v>46</v>
      </c>
      <c r="E78" s="30">
        <v>34</v>
      </c>
      <c r="F78" s="30">
        <v>37</v>
      </c>
      <c r="G78" s="30">
        <v>19</v>
      </c>
      <c r="H78" s="30">
        <v>39</v>
      </c>
      <c r="I78" s="30">
        <v>53</v>
      </c>
      <c r="J78" s="30">
        <v>56</v>
      </c>
      <c r="K78" s="30">
        <v>73</v>
      </c>
      <c r="L78" s="30">
        <v>56</v>
      </c>
      <c r="M78" s="30">
        <v>38</v>
      </c>
      <c r="N78" s="30">
        <v>76</v>
      </c>
      <c r="O78" s="42">
        <v>46</v>
      </c>
      <c r="P78" s="30">
        <v>45</v>
      </c>
      <c r="Q78" s="30">
        <v>12</v>
      </c>
      <c r="AA78" s="17"/>
      <c r="AM78" s="17"/>
      <c r="AY78" s="17"/>
      <c r="BK78" s="17"/>
      <c r="BW78" s="17"/>
      <c r="CI78" s="17"/>
      <c r="CU78" s="17"/>
      <c r="DG78" s="17"/>
      <c r="DS78" s="17"/>
      <c r="EE78" s="17"/>
      <c r="EQ78" s="17"/>
      <c r="FC78" s="33"/>
      <c r="FD78" s="33"/>
      <c r="FE78" s="33"/>
      <c r="FF78" s="24"/>
      <c r="FG78" s="24"/>
      <c r="FH78" s="24"/>
      <c r="FI78" s="24"/>
      <c r="FJ78" s="24"/>
      <c r="FK78" s="24"/>
      <c r="FL78" s="24"/>
      <c r="FM78" s="24"/>
      <c r="FN78" s="17"/>
      <c r="FZ78" s="17"/>
    </row>
    <row r="79" spans="1:193" ht="14.25" customHeight="1">
      <c r="C79" s="1" t="s">
        <v>28</v>
      </c>
      <c r="D79" s="30">
        <v>77</v>
      </c>
      <c r="E79" s="30">
        <v>41</v>
      </c>
      <c r="F79" s="30">
        <v>43</v>
      </c>
      <c r="G79" s="30">
        <v>24</v>
      </c>
      <c r="H79" s="30">
        <v>51</v>
      </c>
      <c r="I79" s="30">
        <v>55</v>
      </c>
      <c r="J79" s="30">
        <v>61</v>
      </c>
      <c r="K79" s="30">
        <v>75</v>
      </c>
      <c r="L79" s="30">
        <v>73</v>
      </c>
      <c r="M79" s="30">
        <v>50</v>
      </c>
      <c r="N79" s="30">
        <v>78</v>
      </c>
      <c r="O79" s="42">
        <v>53</v>
      </c>
      <c r="P79" s="30">
        <v>59</v>
      </c>
      <c r="Q79" s="30">
        <v>17</v>
      </c>
      <c r="S79" s="1"/>
      <c r="AA79" s="17"/>
      <c r="AM79" s="17"/>
      <c r="AY79" s="17"/>
      <c r="BK79" s="17"/>
      <c r="BW79" s="17"/>
      <c r="CI79" s="17"/>
      <c r="CU79" s="17"/>
      <c r="DG79" s="17"/>
      <c r="DS79" s="17"/>
      <c r="EE79" s="17"/>
      <c r="EQ79" s="17"/>
      <c r="FC79" s="33"/>
      <c r="FD79" s="33"/>
      <c r="FE79" s="33"/>
      <c r="FF79" s="24"/>
      <c r="FG79" s="24"/>
      <c r="FH79" s="24"/>
      <c r="FI79" s="24"/>
      <c r="FJ79" s="24"/>
      <c r="FK79" s="24"/>
      <c r="FL79" s="24"/>
      <c r="FM79" s="24"/>
      <c r="FN79" s="17"/>
      <c r="FZ79" s="17"/>
    </row>
    <row r="80" spans="1:193" ht="14.25" customHeight="1">
      <c r="C80" s="1" t="s">
        <v>29</v>
      </c>
      <c r="D80" s="30">
        <v>27</v>
      </c>
      <c r="E80" s="30">
        <v>17</v>
      </c>
      <c r="F80" s="30">
        <v>16</v>
      </c>
      <c r="G80" s="30">
        <v>15</v>
      </c>
      <c r="H80" s="30">
        <v>25</v>
      </c>
      <c r="I80" s="30">
        <v>27</v>
      </c>
      <c r="J80" s="30">
        <v>28</v>
      </c>
      <c r="K80" s="30">
        <v>27</v>
      </c>
      <c r="L80" s="30">
        <v>32</v>
      </c>
      <c r="M80" s="30">
        <v>17</v>
      </c>
      <c r="N80" s="30">
        <v>26</v>
      </c>
      <c r="O80" s="42">
        <v>32</v>
      </c>
      <c r="P80" s="30">
        <v>4</v>
      </c>
      <c r="Q80" s="30">
        <v>0</v>
      </c>
      <c r="S80" s="1"/>
      <c r="AA80" s="17"/>
      <c r="AM80" s="17"/>
      <c r="AY80" s="17"/>
      <c r="BK80" s="17"/>
      <c r="BW80" s="17"/>
      <c r="CI80" s="17"/>
      <c r="CU80" s="17"/>
      <c r="DG80" s="17"/>
      <c r="DS80" s="17"/>
      <c r="EE80" s="17"/>
      <c r="EQ80" s="17"/>
      <c r="FC80" s="33"/>
      <c r="FD80" s="33"/>
      <c r="FE80" s="33"/>
      <c r="FF80" s="24"/>
      <c r="FG80" s="24"/>
      <c r="FH80" s="24"/>
      <c r="FI80" s="24"/>
      <c r="FJ80" s="24"/>
      <c r="FK80" s="24"/>
      <c r="FL80" s="24"/>
      <c r="FM80" s="24"/>
      <c r="FN80" s="17"/>
      <c r="FZ80" s="17"/>
    </row>
    <row r="81" spans="1:193" ht="14.25" customHeight="1">
      <c r="A81" s="35">
        <v>125</v>
      </c>
      <c r="B81" s="35" t="s">
        <v>38</v>
      </c>
      <c r="C81" s="36" t="s">
        <v>18</v>
      </c>
      <c r="D81" s="35">
        <v>111</v>
      </c>
      <c r="E81" s="35">
        <v>119</v>
      </c>
      <c r="F81" s="35">
        <v>80</v>
      </c>
      <c r="G81" s="35">
        <v>101</v>
      </c>
      <c r="H81" s="35">
        <v>89</v>
      </c>
      <c r="I81" s="35">
        <v>95</v>
      </c>
      <c r="J81" s="35">
        <v>83</v>
      </c>
      <c r="K81" s="35">
        <v>112</v>
      </c>
      <c r="L81" s="35">
        <v>88</v>
      </c>
      <c r="M81" s="35">
        <v>16</v>
      </c>
      <c r="N81" s="35">
        <v>37</v>
      </c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6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6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6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6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6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6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6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6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6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6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6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7"/>
      <c r="FD81" s="37"/>
      <c r="FE81" s="37"/>
      <c r="FF81" s="13"/>
      <c r="FG81" s="13"/>
      <c r="FH81" s="13"/>
      <c r="FI81" s="13"/>
      <c r="FJ81" s="13"/>
      <c r="FK81" s="13"/>
      <c r="FL81" s="13"/>
      <c r="FM81" s="13"/>
      <c r="FN81" s="36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6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</row>
    <row r="82" spans="1:193" ht="14.25" customHeight="1">
      <c r="C82" s="1" t="s">
        <v>19</v>
      </c>
      <c r="D82" s="12">
        <v>33</v>
      </c>
      <c r="E82" s="12">
        <v>16</v>
      </c>
      <c r="F82" s="12">
        <v>14</v>
      </c>
      <c r="G82" s="12">
        <v>9</v>
      </c>
      <c r="H82" s="12">
        <v>14</v>
      </c>
      <c r="I82" s="12">
        <v>15</v>
      </c>
      <c r="J82" s="12">
        <v>8</v>
      </c>
      <c r="K82" s="12">
        <v>20</v>
      </c>
      <c r="L82" s="12">
        <v>15</v>
      </c>
      <c r="M82" s="12">
        <v>5</v>
      </c>
      <c r="N82" s="12">
        <v>2</v>
      </c>
      <c r="O82" s="17"/>
      <c r="AA82" s="17"/>
      <c r="AM82" s="17"/>
      <c r="AY82" s="17"/>
      <c r="BK82" s="17"/>
      <c r="BW82" s="17"/>
      <c r="CI82" s="17"/>
      <c r="CU82" s="17"/>
      <c r="DG82" s="17"/>
      <c r="DS82" s="17"/>
      <c r="EE82" s="17"/>
      <c r="EQ82" s="17"/>
      <c r="FC82" s="33"/>
      <c r="FD82" s="33"/>
      <c r="FE82" s="33"/>
      <c r="FF82" s="24"/>
      <c r="FG82" s="24"/>
      <c r="FH82" s="24"/>
      <c r="FI82" s="24"/>
      <c r="FJ82" s="24"/>
      <c r="FK82" s="24"/>
      <c r="FL82" s="24"/>
      <c r="FM82" s="24"/>
      <c r="FN82" s="17"/>
      <c r="FZ82" s="17"/>
    </row>
    <row r="83" spans="1:193" ht="14.25" customHeight="1">
      <c r="C83" s="1" t="s">
        <v>20</v>
      </c>
      <c r="D83" s="12">
        <v>7</v>
      </c>
      <c r="E83" s="12">
        <v>5</v>
      </c>
      <c r="F83" s="12">
        <v>10</v>
      </c>
      <c r="G83" s="12">
        <v>5</v>
      </c>
      <c r="H83" s="12">
        <v>9</v>
      </c>
      <c r="I83" s="12">
        <v>6</v>
      </c>
      <c r="J83" s="12">
        <v>6</v>
      </c>
      <c r="K83" s="12">
        <v>5</v>
      </c>
      <c r="L83" s="12">
        <v>2</v>
      </c>
      <c r="M83" s="12">
        <v>0</v>
      </c>
      <c r="N83" s="12">
        <v>3</v>
      </c>
      <c r="AA83" s="17"/>
      <c r="AM83" s="17"/>
      <c r="AY83" s="17"/>
      <c r="BK83" s="17"/>
      <c r="BW83" s="17"/>
      <c r="CI83" s="17"/>
      <c r="CU83" s="17"/>
      <c r="DG83" s="17"/>
      <c r="DS83" s="17"/>
      <c r="EE83" s="17"/>
      <c r="EQ83" s="17"/>
      <c r="FC83" s="33"/>
      <c r="FD83" s="33"/>
      <c r="FE83" s="33"/>
      <c r="FF83" s="24"/>
      <c r="FG83" s="24"/>
      <c r="FH83" s="24"/>
      <c r="FI83" s="24"/>
      <c r="FJ83" s="24"/>
      <c r="FK83" s="24"/>
      <c r="FL83" s="24"/>
      <c r="FM83" s="24"/>
      <c r="FN83" s="17"/>
      <c r="FZ83" s="17"/>
    </row>
    <row r="84" spans="1:193" ht="14.25" customHeight="1">
      <c r="C84" s="1" t="s">
        <v>21</v>
      </c>
      <c r="D84" s="12">
        <v>94</v>
      </c>
      <c r="E84" s="12">
        <v>85</v>
      </c>
      <c r="F84" s="12">
        <v>65</v>
      </c>
      <c r="G84" s="12">
        <v>68</v>
      </c>
      <c r="H84" s="12">
        <v>84</v>
      </c>
      <c r="I84" s="12">
        <v>77</v>
      </c>
      <c r="J84" s="12">
        <v>78</v>
      </c>
      <c r="K84" s="12">
        <v>85</v>
      </c>
      <c r="L84" s="12">
        <v>84</v>
      </c>
      <c r="M84" s="12">
        <v>16</v>
      </c>
      <c r="N84" s="12">
        <v>24</v>
      </c>
      <c r="AA84" s="17"/>
      <c r="AM84" s="17"/>
      <c r="AY84" s="17"/>
      <c r="BK84" s="17"/>
      <c r="BW84" s="17"/>
      <c r="CI84" s="17"/>
      <c r="CU84" s="17"/>
      <c r="DG84" s="17"/>
      <c r="DS84" s="17"/>
      <c r="EE84" s="17"/>
      <c r="EQ84" s="17"/>
      <c r="FC84" s="33"/>
      <c r="FD84" s="33"/>
      <c r="FE84" s="33"/>
      <c r="FF84" s="24"/>
      <c r="FG84" s="24"/>
      <c r="FH84" s="24"/>
      <c r="FI84" s="24"/>
      <c r="FJ84" s="24"/>
      <c r="FK84" s="24"/>
      <c r="FL84" s="24"/>
      <c r="FM84" s="24"/>
      <c r="FN84" s="17"/>
      <c r="FZ84" s="17"/>
    </row>
    <row r="85" spans="1:193" ht="14.25" customHeight="1">
      <c r="C85" s="1" t="s">
        <v>45</v>
      </c>
      <c r="O85" s="17"/>
      <c r="AA85" s="17"/>
      <c r="AM85" s="17"/>
      <c r="AY85" s="17"/>
      <c r="BK85" s="17"/>
      <c r="BW85" s="17"/>
      <c r="CI85" s="17"/>
      <c r="CU85" s="17"/>
      <c r="DG85" s="17"/>
      <c r="DS85" s="17"/>
      <c r="EE85" s="17"/>
      <c r="EQ85" s="17"/>
      <c r="FC85" s="33"/>
      <c r="FD85" s="33"/>
      <c r="FE85" s="33"/>
      <c r="FF85" s="24"/>
      <c r="FG85" s="24"/>
      <c r="FH85" s="24"/>
      <c r="FI85" s="24"/>
      <c r="FJ85" s="24"/>
      <c r="FK85" s="24"/>
      <c r="FL85" s="24"/>
      <c r="FM85" s="24"/>
      <c r="FN85" s="17"/>
      <c r="FZ85" s="17"/>
    </row>
    <row r="86" spans="1:193" ht="14.25" customHeight="1">
      <c r="C86" s="38" t="s">
        <v>22</v>
      </c>
      <c r="D86" s="12">
        <v>16</v>
      </c>
      <c r="E86" s="12">
        <v>19</v>
      </c>
      <c r="F86" s="12">
        <v>10</v>
      </c>
      <c r="G86" s="12">
        <v>21</v>
      </c>
      <c r="H86" s="12">
        <v>16</v>
      </c>
      <c r="I86" s="12">
        <v>15</v>
      </c>
      <c r="J86" s="12">
        <v>11</v>
      </c>
      <c r="K86" s="12">
        <v>17</v>
      </c>
      <c r="L86" s="12">
        <v>6</v>
      </c>
      <c r="M86" s="12">
        <v>8</v>
      </c>
      <c r="N86" s="12">
        <v>1</v>
      </c>
      <c r="AA86" s="17"/>
      <c r="AM86" s="17"/>
      <c r="AY86" s="17"/>
      <c r="BK86" s="17"/>
      <c r="BW86" s="17"/>
      <c r="CI86" s="17"/>
      <c r="CU86" s="17"/>
      <c r="DG86" s="17"/>
      <c r="DS86" s="17"/>
      <c r="EE86" s="17"/>
      <c r="EQ86" s="17"/>
      <c r="FC86" s="33"/>
      <c r="FD86" s="33"/>
      <c r="FE86" s="33"/>
      <c r="FF86" s="24"/>
      <c r="FG86" s="24"/>
      <c r="FH86" s="24"/>
      <c r="FI86" s="24"/>
      <c r="FJ86" s="24"/>
      <c r="FK86" s="24"/>
      <c r="FL86" s="24"/>
      <c r="FM86" s="24"/>
      <c r="FN86" s="17"/>
      <c r="FZ86" s="17"/>
    </row>
    <row r="87" spans="1:193" ht="14.25" customHeight="1">
      <c r="C87" s="38" t="s">
        <v>23</v>
      </c>
      <c r="D87" s="30">
        <v>5</v>
      </c>
      <c r="E87" s="30">
        <v>3</v>
      </c>
      <c r="F87" s="30">
        <v>3</v>
      </c>
      <c r="G87" s="30">
        <v>6</v>
      </c>
      <c r="H87" s="30">
        <v>8</v>
      </c>
      <c r="I87" s="30">
        <v>5</v>
      </c>
      <c r="J87" s="30">
        <v>4</v>
      </c>
      <c r="K87" s="30">
        <v>6</v>
      </c>
      <c r="L87" s="30">
        <v>2</v>
      </c>
      <c r="M87" s="30">
        <v>1</v>
      </c>
      <c r="N87" s="30">
        <v>0</v>
      </c>
      <c r="O87" s="42">
        <v>7</v>
      </c>
      <c r="P87" s="30">
        <v>2</v>
      </c>
      <c r="Q87" s="30" t="s">
        <v>3</v>
      </c>
      <c r="AA87" s="17"/>
      <c r="AM87" s="17"/>
      <c r="AY87" s="17"/>
      <c r="BK87" s="17"/>
      <c r="BW87" s="17"/>
      <c r="CI87" s="17"/>
      <c r="CU87" s="17"/>
      <c r="DG87" s="17"/>
      <c r="DS87" s="17"/>
      <c r="EE87" s="17"/>
      <c r="EQ87" s="17"/>
      <c r="FC87" s="33"/>
      <c r="FD87" s="33"/>
      <c r="FE87" s="33"/>
      <c r="FF87" s="24"/>
      <c r="FG87" s="24"/>
      <c r="FH87" s="24"/>
      <c r="FI87" s="24"/>
      <c r="FJ87" s="24"/>
      <c r="FK87" s="24"/>
      <c r="FL87" s="24"/>
      <c r="FM87" s="24"/>
      <c r="FN87" s="17"/>
      <c r="FZ87" s="17"/>
    </row>
    <row r="88" spans="1:193" ht="14.25" customHeight="1">
      <c r="C88" s="1" t="s">
        <v>24</v>
      </c>
      <c r="D88" s="30">
        <v>0</v>
      </c>
      <c r="E88" s="30">
        <v>0</v>
      </c>
      <c r="F88" s="30">
        <v>0</v>
      </c>
      <c r="G88" s="30">
        <v>0</v>
      </c>
      <c r="H88" s="30">
        <v>1</v>
      </c>
      <c r="I88" s="30">
        <v>0</v>
      </c>
      <c r="J88" s="30">
        <v>1</v>
      </c>
      <c r="K88" s="30">
        <v>0</v>
      </c>
      <c r="L88" s="30">
        <v>0</v>
      </c>
      <c r="M88" s="30">
        <v>0</v>
      </c>
      <c r="N88" s="30">
        <v>3</v>
      </c>
      <c r="O88" s="42">
        <v>0</v>
      </c>
      <c r="P88" s="30" t="s">
        <v>3</v>
      </c>
      <c r="Q88" s="30" t="s">
        <v>3</v>
      </c>
      <c r="AA88" s="17"/>
      <c r="AM88" s="17"/>
      <c r="AY88" s="17"/>
      <c r="BK88" s="17"/>
      <c r="BW88" s="17"/>
      <c r="CI88" s="17"/>
      <c r="CU88" s="17"/>
      <c r="DG88" s="17"/>
      <c r="DS88" s="17"/>
      <c r="EE88" s="17"/>
      <c r="EQ88" s="17"/>
      <c r="FC88" s="33"/>
      <c r="FD88" s="33"/>
      <c r="FE88" s="33"/>
      <c r="FF88" s="24"/>
      <c r="FG88" s="24"/>
      <c r="FH88" s="24"/>
      <c r="FI88" s="24"/>
      <c r="FJ88" s="24"/>
      <c r="FK88" s="24"/>
      <c r="FL88" s="24"/>
      <c r="FM88" s="24"/>
      <c r="FN88" s="17"/>
      <c r="FZ88" s="17"/>
    </row>
    <row r="89" spans="1:193" ht="14.25" customHeight="1">
      <c r="C89" s="1" t="s">
        <v>25</v>
      </c>
      <c r="D89" s="30">
        <v>1</v>
      </c>
      <c r="E89" s="30">
        <v>2</v>
      </c>
      <c r="F89" s="30">
        <v>2</v>
      </c>
      <c r="G89" s="30">
        <v>1</v>
      </c>
      <c r="H89" s="30">
        <v>1</v>
      </c>
      <c r="I89" s="30">
        <v>0</v>
      </c>
      <c r="J89" s="30">
        <v>1</v>
      </c>
      <c r="K89" s="30">
        <v>1</v>
      </c>
      <c r="L89" s="30">
        <v>0</v>
      </c>
      <c r="M89" s="30">
        <v>0</v>
      </c>
      <c r="N89" s="30">
        <v>0</v>
      </c>
      <c r="O89" s="42" t="s">
        <v>3</v>
      </c>
      <c r="P89" s="30" t="s">
        <v>3</v>
      </c>
      <c r="Q89" s="30" t="s">
        <v>3</v>
      </c>
      <c r="AA89" s="17"/>
      <c r="AM89" s="17"/>
      <c r="AY89" s="17"/>
      <c r="BK89" s="17"/>
      <c r="BW89" s="17"/>
      <c r="CI89" s="17"/>
      <c r="CU89" s="17"/>
      <c r="DG89" s="17"/>
      <c r="DS89" s="17"/>
      <c r="EE89" s="17"/>
      <c r="EQ89" s="17"/>
      <c r="FC89" s="33"/>
      <c r="FD89" s="33"/>
      <c r="FE89" s="33"/>
      <c r="FF89" s="24"/>
      <c r="FG89" s="24"/>
      <c r="FH89" s="24"/>
      <c r="FI89" s="24"/>
      <c r="FJ89" s="24"/>
      <c r="FK89" s="24"/>
      <c r="FL89" s="24"/>
      <c r="FM89" s="24"/>
      <c r="FN89" s="17"/>
      <c r="FZ89" s="17"/>
    </row>
    <row r="90" spans="1:193" ht="14.25" customHeight="1">
      <c r="C90" s="1" t="s">
        <v>26</v>
      </c>
      <c r="D90" s="30">
        <v>6</v>
      </c>
      <c r="E90" s="30">
        <v>3</v>
      </c>
      <c r="F90" s="30">
        <v>9</v>
      </c>
      <c r="G90" s="30">
        <v>5</v>
      </c>
      <c r="H90" s="30">
        <v>9</v>
      </c>
      <c r="I90" s="30">
        <v>5</v>
      </c>
      <c r="J90" s="30">
        <v>5</v>
      </c>
      <c r="K90" s="30">
        <v>4</v>
      </c>
      <c r="L90" s="30">
        <v>2</v>
      </c>
      <c r="M90" s="30">
        <v>0</v>
      </c>
      <c r="N90" s="30">
        <v>3</v>
      </c>
      <c r="O90" s="42" t="s">
        <v>3</v>
      </c>
      <c r="P90" s="30" t="s">
        <v>3</v>
      </c>
      <c r="Q90" s="30" t="s">
        <v>3</v>
      </c>
      <c r="AA90" s="17"/>
      <c r="AM90" s="17"/>
      <c r="AY90" s="17"/>
      <c r="BK90" s="17"/>
      <c r="BW90" s="17"/>
      <c r="CI90" s="17"/>
      <c r="CU90" s="17"/>
      <c r="DG90" s="17"/>
      <c r="DS90" s="17"/>
      <c r="EE90" s="17"/>
      <c r="EQ90" s="17"/>
      <c r="FC90" s="33"/>
      <c r="FD90" s="33"/>
      <c r="FE90" s="33"/>
      <c r="FF90" s="24"/>
      <c r="FG90" s="24"/>
      <c r="FH90" s="24"/>
      <c r="FI90" s="24"/>
      <c r="FJ90" s="24"/>
      <c r="FK90" s="24"/>
      <c r="FL90" s="24"/>
      <c r="FM90" s="24"/>
      <c r="FN90" s="17"/>
      <c r="FZ90" s="17"/>
    </row>
    <row r="91" spans="1:193" ht="14.25" customHeight="1">
      <c r="C91" s="1" t="s">
        <v>27</v>
      </c>
      <c r="D91" s="30">
        <v>32</v>
      </c>
      <c r="E91" s="30">
        <v>15</v>
      </c>
      <c r="F91" s="30">
        <v>14</v>
      </c>
      <c r="G91" s="30">
        <v>9</v>
      </c>
      <c r="H91" s="30">
        <v>13</v>
      </c>
      <c r="I91" s="30">
        <v>15</v>
      </c>
      <c r="J91" s="30">
        <v>7</v>
      </c>
      <c r="K91" s="30">
        <v>20</v>
      </c>
      <c r="L91" s="30">
        <v>15</v>
      </c>
      <c r="M91" s="30">
        <v>5</v>
      </c>
      <c r="N91" s="30">
        <v>2</v>
      </c>
      <c r="O91" s="42" t="s">
        <v>3</v>
      </c>
      <c r="P91" s="30" t="s">
        <v>3</v>
      </c>
      <c r="Q91" s="30" t="s">
        <v>3</v>
      </c>
      <c r="AA91" s="17"/>
      <c r="AM91" s="17"/>
      <c r="AY91" s="17"/>
      <c r="BK91" s="17"/>
      <c r="BW91" s="17"/>
      <c r="CI91" s="17"/>
      <c r="CU91" s="17"/>
      <c r="DG91" s="17"/>
      <c r="DS91" s="17"/>
      <c r="EE91" s="17"/>
      <c r="EQ91" s="17"/>
      <c r="FC91" s="33"/>
      <c r="FD91" s="33"/>
      <c r="FE91" s="33"/>
      <c r="FF91" s="24"/>
      <c r="FG91" s="24"/>
      <c r="FH91" s="24"/>
      <c r="FI91" s="24"/>
      <c r="FJ91" s="24"/>
      <c r="FK91" s="24"/>
      <c r="FL91" s="24"/>
      <c r="FM91" s="24"/>
      <c r="FN91" s="17"/>
      <c r="FZ91" s="17"/>
    </row>
    <row r="92" spans="1:193" ht="14.25" customHeight="1">
      <c r="C92" s="1" t="s">
        <v>28</v>
      </c>
      <c r="D92" s="30">
        <v>31</v>
      </c>
      <c r="E92" s="30">
        <v>15</v>
      </c>
      <c r="F92" s="30">
        <v>18</v>
      </c>
      <c r="G92" s="30">
        <v>12</v>
      </c>
      <c r="H92" s="30">
        <v>18</v>
      </c>
      <c r="I92" s="30">
        <v>29</v>
      </c>
      <c r="J92" s="30">
        <v>36</v>
      </c>
      <c r="K92" s="30">
        <v>33</v>
      </c>
      <c r="L92" s="30">
        <v>30</v>
      </c>
      <c r="M92" s="30">
        <v>4</v>
      </c>
      <c r="N92" s="30">
        <v>9</v>
      </c>
      <c r="O92" s="42" t="s">
        <v>3</v>
      </c>
      <c r="P92" s="30" t="s">
        <v>3</v>
      </c>
      <c r="Q92" s="30" t="s">
        <v>3</v>
      </c>
      <c r="AA92" s="17"/>
      <c r="AM92" s="17"/>
      <c r="AY92" s="17"/>
      <c r="BK92" s="17"/>
      <c r="BW92" s="17"/>
      <c r="CI92" s="17"/>
      <c r="CU92" s="17"/>
      <c r="DG92" s="17"/>
      <c r="DS92" s="17"/>
      <c r="EE92" s="17"/>
      <c r="EQ92" s="17"/>
      <c r="FC92" s="33"/>
      <c r="FD92" s="33"/>
      <c r="FE92" s="33"/>
      <c r="FF92" s="24"/>
      <c r="FG92" s="24"/>
      <c r="FH92" s="24"/>
      <c r="FI92" s="24"/>
      <c r="FJ92" s="24"/>
      <c r="FK92" s="24"/>
      <c r="FL92" s="24"/>
      <c r="FM92" s="24"/>
      <c r="FN92" s="17"/>
      <c r="FZ92" s="17"/>
    </row>
    <row r="93" spans="1:193" ht="14.25" customHeight="1">
      <c r="C93" s="1" t="s">
        <v>29</v>
      </c>
      <c r="D93" s="30">
        <v>8</v>
      </c>
      <c r="E93" s="30">
        <v>11</v>
      </c>
      <c r="F93" s="30">
        <v>9</v>
      </c>
      <c r="G93" s="30">
        <v>12</v>
      </c>
      <c r="H93" s="30">
        <v>9</v>
      </c>
      <c r="I93" s="30">
        <v>8</v>
      </c>
      <c r="J93" s="30">
        <v>15</v>
      </c>
      <c r="K93" s="30">
        <v>11</v>
      </c>
      <c r="L93" s="30">
        <v>6</v>
      </c>
      <c r="M93" s="30">
        <v>0</v>
      </c>
      <c r="N93" s="30">
        <v>7</v>
      </c>
      <c r="O93" s="42" t="s">
        <v>3</v>
      </c>
      <c r="P93" s="30" t="s">
        <v>3</v>
      </c>
      <c r="AA93" s="17"/>
      <c r="AM93" s="17"/>
      <c r="AY93" s="17"/>
      <c r="BK93" s="17"/>
      <c r="BW93" s="17"/>
      <c r="CI93" s="17"/>
      <c r="CU93" s="17"/>
      <c r="DG93" s="17"/>
      <c r="DS93" s="17"/>
      <c r="EE93" s="17"/>
      <c r="EQ93" s="17"/>
      <c r="FC93" s="33"/>
      <c r="FD93" s="33"/>
      <c r="FE93" s="33"/>
      <c r="FF93" s="24"/>
      <c r="FG93" s="24"/>
      <c r="FH93" s="24"/>
      <c r="FI93" s="24"/>
      <c r="FJ93" s="24"/>
      <c r="FK93" s="24"/>
      <c r="FL93" s="24"/>
      <c r="FM93" s="24"/>
      <c r="FN93" s="17"/>
      <c r="FZ93" s="17"/>
    </row>
    <row r="94" spans="1:193" ht="14.25" customHeight="1">
      <c r="A94" s="35">
        <v>130</v>
      </c>
      <c r="B94" s="35" t="s">
        <v>40</v>
      </c>
      <c r="C94" s="36" t="s">
        <v>18</v>
      </c>
      <c r="D94" s="35">
        <v>477</v>
      </c>
      <c r="E94" s="35">
        <v>399</v>
      </c>
      <c r="F94" s="35">
        <v>521</v>
      </c>
      <c r="G94" s="35">
        <v>500</v>
      </c>
      <c r="H94" s="35">
        <v>485</v>
      </c>
      <c r="I94" s="35">
        <v>477</v>
      </c>
      <c r="J94" s="35">
        <v>456</v>
      </c>
      <c r="K94" s="35">
        <v>500</v>
      </c>
      <c r="L94" s="35">
        <v>455</v>
      </c>
      <c r="M94" s="35">
        <v>483</v>
      </c>
      <c r="N94" s="35">
        <v>487</v>
      </c>
      <c r="O94" s="35">
        <v>485</v>
      </c>
      <c r="P94" s="35">
        <v>551</v>
      </c>
      <c r="Q94" s="35">
        <v>387</v>
      </c>
      <c r="R94" s="35"/>
      <c r="S94" s="35"/>
      <c r="T94" s="35"/>
      <c r="U94" s="35"/>
      <c r="V94" s="35"/>
      <c r="W94" s="35"/>
      <c r="X94" s="35"/>
      <c r="Y94" s="35"/>
      <c r="Z94" s="35"/>
      <c r="AA94" s="36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6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6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6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6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6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6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6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6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6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6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7"/>
      <c r="FD94" s="37"/>
      <c r="FE94" s="37"/>
      <c r="FF94" s="13"/>
      <c r="FG94" s="13"/>
      <c r="FH94" s="13"/>
      <c r="FI94" s="13"/>
      <c r="FJ94" s="13"/>
      <c r="FK94" s="13"/>
      <c r="FL94" s="13"/>
      <c r="FM94" s="13"/>
      <c r="FN94" s="36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6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</row>
    <row r="95" spans="1:193" ht="14.25" customHeight="1">
      <c r="C95" s="1" t="s">
        <v>19</v>
      </c>
      <c r="D95" s="12">
        <v>93</v>
      </c>
      <c r="E95" s="12">
        <v>77</v>
      </c>
      <c r="F95" s="12">
        <v>112</v>
      </c>
      <c r="G95" s="12">
        <v>105</v>
      </c>
      <c r="H95" s="12">
        <v>127</v>
      </c>
      <c r="I95" s="12">
        <v>133</v>
      </c>
      <c r="J95" s="12">
        <v>123</v>
      </c>
      <c r="K95" s="12">
        <v>145</v>
      </c>
      <c r="L95" s="12">
        <v>146</v>
      </c>
      <c r="M95" s="12">
        <v>137</v>
      </c>
      <c r="N95" s="12">
        <v>90</v>
      </c>
      <c r="O95" s="17">
        <v>97</v>
      </c>
      <c r="P95" s="12">
        <v>141</v>
      </c>
      <c r="Q95" s="12">
        <v>58</v>
      </c>
      <c r="AA95" s="17"/>
      <c r="AM95" s="17"/>
      <c r="AY95" s="17"/>
      <c r="BK95" s="17"/>
      <c r="BW95" s="17"/>
      <c r="CI95" s="17"/>
      <c r="CU95" s="17"/>
      <c r="DG95" s="17"/>
      <c r="DS95" s="17"/>
      <c r="EE95" s="17"/>
      <c r="EQ95" s="17"/>
      <c r="FC95" s="33"/>
      <c r="FD95" s="33"/>
      <c r="FE95" s="33"/>
      <c r="FF95" s="24"/>
      <c r="FG95" s="24"/>
      <c r="FH95" s="24"/>
      <c r="FI95" s="24"/>
      <c r="FJ95" s="24"/>
      <c r="FK95" s="24"/>
      <c r="FL95" s="24"/>
      <c r="FM95" s="24"/>
      <c r="FN95" s="17"/>
      <c r="FZ95" s="17"/>
    </row>
    <row r="96" spans="1:193" ht="14.25" customHeight="1">
      <c r="C96" s="1" t="s">
        <v>20</v>
      </c>
      <c r="D96" s="12">
        <v>26</v>
      </c>
      <c r="E96" s="12">
        <v>14</v>
      </c>
      <c r="F96" s="12">
        <v>22</v>
      </c>
      <c r="G96" s="12">
        <v>21</v>
      </c>
      <c r="H96" s="12">
        <v>33</v>
      </c>
      <c r="I96" s="12">
        <v>21</v>
      </c>
      <c r="J96" s="12">
        <v>19</v>
      </c>
      <c r="K96" s="12">
        <v>32</v>
      </c>
      <c r="L96" s="12">
        <v>44</v>
      </c>
      <c r="M96" s="12">
        <v>46</v>
      </c>
      <c r="N96" s="12">
        <v>54</v>
      </c>
      <c r="O96" s="12">
        <v>36</v>
      </c>
      <c r="P96" s="12">
        <v>35</v>
      </c>
      <c r="Q96" s="12">
        <v>32</v>
      </c>
      <c r="AA96" s="17"/>
      <c r="AM96" s="17"/>
      <c r="AY96" s="17"/>
      <c r="BK96" s="17"/>
      <c r="BW96" s="17"/>
      <c r="CI96" s="17"/>
      <c r="CU96" s="17"/>
      <c r="DG96" s="17"/>
      <c r="DS96" s="17"/>
      <c r="EE96" s="17"/>
      <c r="EQ96" s="17"/>
      <c r="FC96" s="33"/>
      <c r="FD96" s="33"/>
      <c r="FE96" s="33"/>
      <c r="FF96" s="24"/>
      <c r="FG96" s="24"/>
      <c r="FH96" s="24"/>
      <c r="FI96" s="24"/>
      <c r="FJ96" s="24"/>
      <c r="FK96" s="24"/>
      <c r="FL96" s="24"/>
      <c r="FM96" s="24"/>
      <c r="FN96" s="17"/>
      <c r="FZ96" s="17"/>
    </row>
    <row r="97" spans="3:182" ht="14.25" customHeight="1">
      <c r="C97" s="1" t="s">
        <v>21</v>
      </c>
      <c r="D97" s="12">
        <v>376</v>
      </c>
      <c r="E97" s="12">
        <v>297</v>
      </c>
      <c r="F97" s="12">
        <v>395</v>
      </c>
      <c r="G97" s="12">
        <v>382</v>
      </c>
      <c r="H97" s="12">
        <v>386</v>
      </c>
      <c r="I97" s="12">
        <v>340</v>
      </c>
      <c r="J97" s="12">
        <v>322</v>
      </c>
      <c r="K97" s="12">
        <v>331</v>
      </c>
      <c r="L97" s="12">
        <v>355</v>
      </c>
      <c r="M97" s="12">
        <v>361</v>
      </c>
      <c r="N97" s="12">
        <v>357</v>
      </c>
      <c r="O97" s="12">
        <v>339</v>
      </c>
      <c r="P97" s="12">
        <v>432</v>
      </c>
      <c r="Q97" s="12">
        <v>322</v>
      </c>
      <c r="S97" s="1"/>
      <c r="AA97" s="17"/>
      <c r="AM97" s="17"/>
      <c r="AY97" s="17"/>
      <c r="BK97" s="17"/>
      <c r="BW97" s="17"/>
      <c r="CI97" s="17"/>
      <c r="CU97" s="17"/>
      <c r="DG97" s="17"/>
      <c r="DS97" s="17"/>
      <c r="EE97" s="17"/>
      <c r="EQ97" s="17"/>
      <c r="FC97" s="33"/>
      <c r="FD97" s="33"/>
      <c r="FE97" s="33"/>
      <c r="FF97" s="24"/>
      <c r="FG97" s="24"/>
      <c r="FH97" s="24"/>
      <c r="FI97" s="24"/>
      <c r="FJ97" s="24"/>
      <c r="FK97" s="24"/>
      <c r="FL97" s="24"/>
      <c r="FM97" s="24"/>
      <c r="FN97" s="17"/>
      <c r="FZ97" s="17"/>
    </row>
    <row r="98" spans="3:182" ht="14.25" customHeight="1">
      <c r="C98" s="1" t="s">
        <v>45</v>
      </c>
      <c r="S98" s="1"/>
      <c r="AA98" s="17"/>
      <c r="AM98" s="17"/>
      <c r="AY98" s="17"/>
      <c r="BK98" s="17"/>
      <c r="BW98" s="17"/>
      <c r="CI98" s="17"/>
      <c r="CU98" s="17"/>
      <c r="DG98" s="17"/>
      <c r="DS98" s="17"/>
      <c r="EE98" s="17"/>
      <c r="EQ98" s="17"/>
      <c r="FC98" s="33"/>
      <c r="FD98" s="33"/>
      <c r="FE98" s="33"/>
      <c r="FF98" s="24"/>
      <c r="FG98" s="24"/>
      <c r="FH98" s="24"/>
      <c r="FI98" s="24"/>
      <c r="FJ98" s="24"/>
      <c r="FK98" s="24"/>
      <c r="FL98" s="24"/>
      <c r="FM98" s="24"/>
      <c r="FN98" s="17"/>
      <c r="FZ98" s="17"/>
    </row>
    <row r="99" spans="3:182" ht="14.25" customHeight="1">
      <c r="C99" s="38" t="s">
        <v>22</v>
      </c>
      <c r="D99" s="12">
        <v>59</v>
      </c>
      <c r="E99" s="12">
        <v>51</v>
      </c>
      <c r="F99" s="12">
        <v>74</v>
      </c>
      <c r="G99" s="12">
        <v>57</v>
      </c>
      <c r="H99" s="12">
        <v>58</v>
      </c>
      <c r="I99" s="12">
        <v>74</v>
      </c>
      <c r="J99" s="12">
        <v>59</v>
      </c>
      <c r="K99" s="12">
        <v>74</v>
      </c>
      <c r="L99" s="12">
        <v>55</v>
      </c>
      <c r="M99" s="12">
        <v>62</v>
      </c>
      <c r="N99" s="12">
        <v>73</v>
      </c>
      <c r="O99" s="12">
        <v>72</v>
      </c>
      <c r="P99" s="12">
        <v>52</v>
      </c>
      <c r="Q99" s="12">
        <v>36</v>
      </c>
      <c r="S99" s="1"/>
      <c r="AA99" s="17"/>
      <c r="AM99" s="17"/>
      <c r="AY99" s="17"/>
      <c r="BK99" s="17"/>
      <c r="BW99" s="17"/>
      <c r="CI99" s="17"/>
      <c r="CU99" s="17"/>
      <c r="DG99" s="17"/>
      <c r="DS99" s="17"/>
      <c r="EE99" s="17"/>
      <c r="EQ99" s="17"/>
      <c r="FC99" s="33"/>
      <c r="FD99" s="33"/>
      <c r="FE99" s="33"/>
      <c r="FF99" s="24"/>
      <c r="FG99" s="24"/>
      <c r="FH99" s="24"/>
      <c r="FI99" s="24"/>
      <c r="FJ99" s="24"/>
      <c r="FK99" s="24"/>
      <c r="FL99" s="24"/>
      <c r="FM99" s="24"/>
      <c r="FN99" s="17"/>
      <c r="FZ99" s="17"/>
    </row>
    <row r="100" spans="3:182" ht="14.25" customHeight="1">
      <c r="C100" s="38" t="s">
        <v>23</v>
      </c>
      <c r="D100" s="30">
        <v>21</v>
      </c>
      <c r="E100" s="30">
        <v>13</v>
      </c>
      <c r="F100" s="30">
        <v>10</v>
      </c>
      <c r="G100" s="30">
        <v>13</v>
      </c>
      <c r="H100" s="30">
        <v>19</v>
      </c>
      <c r="I100" s="30">
        <v>21</v>
      </c>
      <c r="J100" s="30">
        <v>14</v>
      </c>
      <c r="K100" s="30">
        <v>19</v>
      </c>
      <c r="L100" s="30">
        <v>20</v>
      </c>
      <c r="M100" s="30">
        <v>19</v>
      </c>
      <c r="N100" s="30">
        <v>2</v>
      </c>
      <c r="O100" s="42">
        <v>20</v>
      </c>
      <c r="P100" s="30">
        <v>18</v>
      </c>
      <c r="Q100" s="30">
        <v>5</v>
      </c>
      <c r="AA100" s="17"/>
      <c r="AM100" s="17"/>
      <c r="AY100" s="17"/>
      <c r="BK100" s="17"/>
      <c r="BW100" s="17"/>
      <c r="CI100" s="17"/>
      <c r="CU100" s="17"/>
      <c r="DG100" s="17"/>
      <c r="DS100" s="17"/>
      <c r="EE100" s="17"/>
      <c r="EQ100" s="17"/>
      <c r="FC100" s="33"/>
      <c r="FD100" s="33"/>
      <c r="FE100" s="33"/>
      <c r="FF100" s="24"/>
      <c r="FG100" s="24"/>
      <c r="FH100" s="24"/>
      <c r="FI100" s="24"/>
      <c r="FJ100" s="24"/>
      <c r="FK100" s="24"/>
      <c r="FL100" s="24"/>
      <c r="FM100" s="24"/>
      <c r="FN100" s="17"/>
      <c r="FZ100" s="17"/>
    </row>
    <row r="101" spans="3:182" ht="14.25" customHeight="1">
      <c r="C101" s="1" t="s">
        <v>24</v>
      </c>
      <c r="D101" s="30">
        <v>1</v>
      </c>
      <c r="E101" s="30">
        <v>2</v>
      </c>
      <c r="F101" s="30">
        <v>1</v>
      </c>
      <c r="G101" s="30">
        <v>2</v>
      </c>
      <c r="H101" s="30">
        <v>0</v>
      </c>
      <c r="I101" s="30">
        <v>0</v>
      </c>
      <c r="J101" s="30">
        <v>5</v>
      </c>
      <c r="K101" s="30">
        <v>3</v>
      </c>
      <c r="L101" s="30">
        <v>4</v>
      </c>
      <c r="M101" s="30">
        <v>1</v>
      </c>
      <c r="N101" s="30">
        <v>1</v>
      </c>
      <c r="O101" s="42">
        <v>5</v>
      </c>
      <c r="P101" s="30">
        <v>1</v>
      </c>
      <c r="Q101" s="30">
        <v>0</v>
      </c>
      <c r="AA101" s="17"/>
      <c r="AM101" s="17"/>
      <c r="AY101" s="17"/>
      <c r="BK101" s="17"/>
      <c r="BW101" s="17"/>
      <c r="CI101" s="17"/>
      <c r="CU101" s="17"/>
      <c r="DG101" s="17"/>
      <c r="DS101" s="17"/>
      <c r="EE101" s="17"/>
      <c r="EQ101" s="17"/>
      <c r="FC101" s="33"/>
      <c r="FD101" s="33"/>
      <c r="FE101" s="33"/>
      <c r="FF101" s="24"/>
      <c r="FG101" s="24"/>
      <c r="FH101" s="24"/>
      <c r="FI101" s="24"/>
      <c r="FJ101" s="24"/>
      <c r="FK101" s="24"/>
      <c r="FL101" s="24"/>
      <c r="FM101" s="24"/>
      <c r="FN101" s="17"/>
      <c r="FZ101" s="17"/>
    </row>
    <row r="102" spans="3:182" ht="14.25" customHeight="1">
      <c r="C102" s="1" t="s">
        <v>25</v>
      </c>
      <c r="D102" s="30">
        <v>19</v>
      </c>
      <c r="E102" s="30">
        <v>11</v>
      </c>
      <c r="F102" s="30">
        <v>13</v>
      </c>
      <c r="G102" s="30">
        <v>12</v>
      </c>
      <c r="H102" s="30">
        <v>27</v>
      </c>
      <c r="I102" s="30">
        <v>12</v>
      </c>
      <c r="J102" s="30">
        <v>14</v>
      </c>
      <c r="K102" s="30">
        <v>22</v>
      </c>
      <c r="L102" s="30">
        <v>40</v>
      </c>
      <c r="M102" s="30">
        <v>44</v>
      </c>
      <c r="N102" s="30">
        <v>49</v>
      </c>
      <c r="O102" s="42">
        <v>32</v>
      </c>
      <c r="P102" s="30">
        <v>29</v>
      </c>
      <c r="Q102" s="30">
        <v>31</v>
      </c>
      <c r="AA102" s="17"/>
      <c r="AM102" s="17"/>
      <c r="AY102" s="17"/>
      <c r="BK102" s="17"/>
      <c r="BW102" s="17"/>
      <c r="CI102" s="17"/>
      <c r="CU102" s="17"/>
      <c r="DG102" s="17"/>
      <c r="DS102" s="17"/>
      <c r="EE102" s="17"/>
      <c r="EQ102" s="17"/>
      <c r="FC102" s="33"/>
      <c r="FD102" s="33"/>
      <c r="FE102" s="33"/>
      <c r="FF102" s="24"/>
      <c r="FG102" s="24"/>
      <c r="FH102" s="24"/>
      <c r="FI102" s="24"/>
      <c r="FJ102" s="24"/>
      <c r="FK102" s="24"/>
      <c r="FL102" s="24"/>
      <c r="FM102" s="24"/>
      <c r="FN102" s="17"/>
      <c r="FZ102" s="17"/>
    </row>
    <row r="103" spans="3:182" ht="14.25" customHeight="1">
      <c r="C103" s="1" t="s">
        <v>26</v>
      </c>
      <c r="D103" s="30">
        <v>25</v>
      </c>
      <c r="E103" s="30">
        <v>13</v>
      </c>
      <c r="F103" s="30">
        <v>22</v>
      </c>
      <c r="G103" s="30">
        <v>19</v>
      </c>
      <c r="H103" s="30">
        <v>30</v>
      </c>
      <c r="I103" s="30">
        <v>21</v>
      </c>
      <c r="J103" s="30">
        <v>18</v>
      </c>
      <c r="K103" s="30">
        <v>31</v>
      </c>
      <c r="L103" s="30">
        <v>43</v>
      </c>
      <c r="M103" s="30">
        <v>46</v>
      </c>
      <c r="N103" s="30">
        <v>46</v>
      </c>
      <c r="O103" s="42">
        <v>34</v>
      </c>
      <c r="P103" s="30">
        <v>31</v>
      </c>
      <c r="Q103" s="30">
        <v>29</v>
      </c>
      <c r="AA103" s="17"/>
      <c r="AM103" s="17"/>
      <c r="AY103" s="17"/>
      <c r="BK103" s="17"/>
      <c r="BW103" s="17"/>
      <c r="CI103" s="17"/>
      <c r="CU103" s="17"/>
      <c r="DG103" s="17"/>
      <c r="DS103" s="17"/>
      <c r="EE103" s="17"/>
      <c r="EQ103" s="17"/>
      <c r="FC103" s="33"/>
      <c r="FD103" s="33"/>
      <c r="FE103" s="33"/>
      <c r="FF103" s="24"/>
      <c r="FG103" s="24"/>
      <c r="FH103" s="24"/>
      <c r="FI103" s="24"/>
      <c r="FJ103" s="24"/>
      <c r="FK103" s="24"/>
      <c r="FL103" s="24"/>
      <c r="FM103" s="24"/>
      <c r="FN103" s="17"/>
      <c r="FZ103" s="17"/>
    </row>
    <row r="104" spans="3:182" ht="14.25" customHeight="1">
      <c r="C104" s="1" t="s">
        <v>27</v>
      </c>
      <c r="D104" s="30">
        <v>85</v>
      </c>
      <c r="E104" s="30">
        <v>73</v>
      </c>
      <c r="F104" s="30">
        <v>102</v>
      </c>
      <c r="G104" s="30">
        <v>97</v>
      </c>
      <c r="H104" s="30">
        <v>126</v>
      </c>
      <c r="I104" s="30">
        <v>131</v>
      </c>
      <c r="J104" s="30">
        <v>114</v>
      </c>
      <c r="K104" s="30">
        <v>143</v>
      </c>
      <c r="L104" s="30">
        <v>137</v>
      </c>
      <c r="M104" s="30">
        <v>131</v>
      </c>
      <c r="N104" s="30">
        <v>81</v>
      </c>
      <c r="O104" s="42">
        <v>94</v>
      </c>
      <c r="P104" s="30">
        <v>136</v>
      </c>
      <c r="Q104" s="30">
        <v>55</v>
      </c>
      <c r="AA104" s="17"/>
      <c r="AM104" s="17"/>
      <c r="AY104" s="17"/>
      <c r="BK104" s="17"/>
      <c r="BW104" s="17"/>
      <c r="CI104" s="17"/>
      <c r="CU104" s="17"/>
      <c r="DG104" s="17"/>
      <c r="DS104" s="17"/>
      <c r="EE104" s="17"/>
      <c r="EQ104" s="17"/>
      <c r="FC104" s="33"/>
      <c r="FD104" s="33"/>
      <c r="FE104" s="33"/>
      <c r="FF104" s="24"/>
      <c r="FG104" s="24"/>
      <c r="FH104" s="24"/>
      <c r="FI104" s="24"/>
      <c r="FJ104" s="24"/>
      <c r="FK104" s="24"/>
      <c r="FL104" s="24"/>
      <c r="FM104" s="24"/>
      <c r="FN104" s="17"/>
      <c r="FZ104" s="17"/>
    </row>
    <row r="105" spans="3:182" ht="14.25" customHeight="1">
      <c r="C105" s="1" t="s">
        <v>28</v>
      </c>
      <c r="D105" s="30">
        <v>103</v>
      </c>
      <c r="E105" s="30">
        <v>68</v>
      </c>
      <c r="F105" s="30">
        <v>74</v>
      </c>
      <c r="G105" s="30">
        <v>108</v>
      </c>
      <c r="H105" s="30">
        <v>181</v>
      </c>
      <c r="I105" s="30">
        <v>197</v>
      </c>
      <c r="J105" s="30">
        <v>203</v>
      </c>
      <c r="K105" s="30">
        <v>180</v>
      </c>
      <c r="L105" s="30">
        <v>186</v>
      </c>
      <c r="M105" s="30">
        <v>196</v>
      </c>
      <c r="N105" s="30">
        <v>191</v>
      </c>
      <c r="O105" s="42">
        <v>184</v>
      </c>
      <c r="P105" s="30">
        <v>190</v>
      </c>
      <c r="Q105" s="30">
        <v>81</v>
      </c>
      <c r="S105" s="1"/>
      <c r="AA105" s="17"/>
      <c r="AM105" s="17"/>
      <c r="AY105" s="17"/>
      <c r="BK105" s="17"/>
      <c r="BW105" s="17"/>
      <c r="CI105" s="17"/>
      <c r="CU105" s="17"/>
      <c r="DG105" s="17"/>
      <c r="DS105" s="17"/>
      <c r="EE105" s="17"/>
      <c r="EQ105" s="17"/>
      <c r="FC105" s="33"/>
      <c r="FD105" s="33"/>
      <c r="FE105" s="33"/>
      <c r="FF105" s="24"/>
      <c r="FG105" s="24"/>
      <c r="FH105" s="24"/>
      <c r="FI105" s="24"/>
      <c r="FJ105" s="24"/>
      <c r="FK105" s="24"/>
      <c r="FL105" s="24"/>
      <c r="FM105" s="24"/>
      <c r="FN105" s="17"/>
      <c r="FZ105" s="17"/>
    </row>
    <row r="106" spans="3:182" ht="14.25" customHeight="1">
      <c r="C106" s="1" t="s">
        <v>29</v>
      </c>
      <c r="D106" s="30">
        <v>86</v>
      </c>
      <c r="E106" s="30">
        <v>73</v>
      </c>
      <c r="F106" s="30">
        <v>85</v>
      </c>
      <c r="G106" s="30">
        <v>81</v>
      </c>
      <c r="H106" s="30">
        <v>72</v>
      </c>
      <c r="I106" s="30">
        <v>98</v>
      </c>
      <c r="J106" s="30">
        <v>112</v>
      </c>
      <c r="K106" s="30">
        <v>98</v>
      </c>
      <c r="L106" s="30">
        <v>111</v>
      </c>
      <c r="M106" s="30">
        <v>89</v>
      </c>
      <c r="N106" s="30">
        <v>90</v>
      </c>
      <c r="O106" s="42">
        <v>100</v>
      </c>
      <c r="P106" s="30">
        <v>86</v>
      </c>
      <c r="Q106" s="30">
        <v>43</v>
      </c>
      <c r="S106" s="1"/>
      <c r="AA106" s="17"/>
      <c r="AM106" s="17"/>
      <c r="AY106" s="17"/>
      <c r="BK106" s="17"/>
      <c r="BW106" s="17"/>
      <c r="CI106" s="17"/>
      <c r="CU106" s="17"/>
      <c r="DG106" s="17"/>
      <c r="DS106" s="17"/>
      <c r="EE106" s="17"/>
      <c r="EQ106" s="17"/>
      <c r="FC106" s="33"/>
      <c r="FD106" s="33"/>
      <c r="FE106" s="33"/>
      <c r="FF106" s="24"/>
      <c r="FG106" s="24"/>
      <c r="FH106" s="24"/>
      <c r="FI106" s="24"/>
      <c r="FJ106" s="24"/>
      <c r="FK106" s="24"/>
      <c r="FL106" s="24"/>
      <c r="FM106" s="24"/>
      <c r="FN106" s="17"/>
      <c r="FZ106" s="17"/>
    </row>
    <row r="107" spans="3:182" ht="14.25" customHeight="1">
      <c r="C107" s="17"/>
      <c r="O107" s="17"/>
      <c r="AA107" s="17"/>
      <c r="AM107" s="17"/>
      <c r="AY107" s="17"/>
      <c r="BK107" s="17"/>
      <c r="BW107" s="17"/>
      <c r="CI107" s="17"/>
      <c r="CU107" s="17"/>
      <c r="DG107" s="17"/>
      <c r="DS107" s="17"/>
      <c r="EE107" s="17"/>
      <c r="EQ107" s="17"/>
      <c r="FC107" s="33"/>
      <c r="FD107" s="33"/>
      <c r="FE107" s="33"/>
      <c r="FF107" s="24"/>
      <c r="FG107" s="24"/>
      <c r="FH107" s="24"/>
      <c r="FI107" s="24"/>
      <c r="FJ107" s="24"/>
      <c r="FK107" s="24"/>
      <c r="FL107" s="24"/>
      <c r="FM107" s="24"/>
      <c r="FN107" s="17"/>
      <c r="FZ107" s="17"/>
    </row>
    <row r="108" spans="3:182" ht="14.25" customHeight="1">
      <c r="C108" s="17"/>
      <c r="O108" s="17"/>
      <c r="AA108" s="17"/>
      <c r="AM108" s="17"/>
      <c r="AY108" s="17"/>
      <c r="BK108" s="17"/>
      <c r="BW108" s="17"/>
      <c r="CI108" s="17"/>
      <c r="CU108" s="17"/>
      <c r="DG108" s="17"/>
      <c r="DS108" s="17"/>
      <c r="EE108" s="17"/>
      <c r="EQ108" s="17"/>
      <c r="FC108" s="33"/>
      <c r="FD108" s="33"/>
      <c r="FE108" s="33"/>
      <c r="FF108" s="24"/>
      <c r="FG108" s="24"/>
      <c r="FH108" s="24"/>
      <c r="FI108" s="24"/>
      <c r="FJ108" s="24"/>
      <c r="FK108" s="24"/>
      <c r="FL108" s="24"/>
      <c r="FM108" s="24"/>
      <c r="FN108" s="17"/>
      <c r="FZ108" s="17"/>
    </row>
    <row r="109" spans="3:182" ht="14.25" customHeight="1">
      <c r="C109" s="17"/>
      <c r="O109" s="17"/>
      <c r="AA109" s="17"/>
      <c r="AM109" s="17"/>
      <c r="AY109" s="17"/>
      <c r="BK109" s="17"/>
      <c r="BW109" s="17"/>
      <c r="CI109" s="17"/>
      <c r="CU109" s="17"/>
      <c r="DG109" s="17"/>
      <c r="DS109" s="17"/>
      <c r="EE109" s="17"/>
      <c r="EQ109" s="17"/>
      <c r="FC109" s="33"/>
      <c r="FD109" s="33"/>
      <c r="FE109" s="33"/>
      <c r="FF109" s="24"/>
      <c r="FG109" s="24"/>
      <c r="FH109" s="24"/>
      <c r="FI109" s="24"/>
      <c r="FJ109" s="24"/>
      <c r="FK109" s="24"/>
      <c r="FL109" s="24"/>
      <c r="FM109" s="24"/>
      <c r="FN109" s="17"/>
      <c r="FZ109" s="17"/>
    </row>
    <row r="110" spans="3:182" ht="14.25" customHeight="1">
      <c r="C110" s="17"/>
      <c r="O110" s="17"/>
      <c r="AA110" s="17"/>
      <c r="AM110" s="17"/>
      <c r="AY110" s="17"/>
      <c r="BK110" s="17"/>
      <c r="BW110" s="17"/>
      <c r="CI110" s="17"/>
      <c r="CU110" s="17"/>
      <c r="DG110" s="17"/>
      <c r="DS110" s="17"/>
      <c r="EE110" s="17"/>
      <c r="EQ110" s="17"/>
      <c r="FC110" s="33"/>
      <c r="FD110" s="33"/>
      <c r="FE110" s="33"/>
      <c r="FF110" s="24"/>
      <c r="FG110" s="24"/>
      <c r="FH110" s="24"/>
      <c r="FI110" s="24"/>
      <c r="FJ110" s="24"/>
      <c r="FK110" s="24"/>
      <c r="FL110" s="24"/>
      <c r="FM110" s="24"/>
      <c r="FN110" s="17"/>
      <c r="FZ110" s="17"/>
    </row>
    <row r="111" spans="3:182" ht="14.25" customHeight="1">
      <c r="C111" s="17"/>
      <c r="O111" s="17"/>
      <c r="AA111" s="17"/>
      <c r="AM111" s="17"/>
      <c r="AY111" s="17"/>
      <c r="BK111" s="17"/>
      <c r="BW111" s="17"/>
      <c r="CI111" s="17"/>
      <c r="CU111" s="17"/>
      <c r="DG111" s="17"/>
      <c r="DS111" s="17"/>
      <c r="EE111" s="17"/>
      <c r="EQ111" s="17"/>
      <c r="FC111" s="33"/>
      <c r="FD111" s="33"/>
      <c r="FE111" s="33"/>
      <c r="FF111" s="24"/>
      <c r="FG111" s="24"/>
      <c r="FH111" s="24"/>
      <c r="FI111" s="24"/>
      <c r="FJ111" s="24"/>
      <c r="FK111" s="24"/>
      <c r="FL111" s="24"/>
      <c r="FM111" s="24"/>
      <c r="FN111" s="17"/>
      <c r="FZ111" s="17"/>
    </row>
    <row r="112" spans="3:182" ht="14.25" customHeight="1">
      <c r="C112" s="17"/>
      <c r="O112" s="17"/>
      <c r="AA112" s="17"/>
      <c r="AM112" s="17"/>
      <c r="AY112" s="17"/>
      <c r="BK112" s="17"/>
      <c r="BW112" s="17"/>
      <c r="CI112" s="17"/>
      <c r="CU112" s="17"/>
      <c r="DG112" s="17"/>
      <c r="DS112" s="17"/>
      <c r="EE112" s="17"/>
      <c r="EQ112" s="17"/>
      <c r="FC112" s="33"/>
      <c r="FD112" s="33"/>
      <c r="FE112" s="33"/>
      <c r="FF112" s="24"/>
      <c r="FG112" s="24"/>
      <c r="FH112" s="24"/>
      <c r="FI112" s="24"/>
      <c r="FJ112" s="24"/>
      <c r="FK112" s="24"/>
      <c r="FL112" s="24"/>
      <c r="FM112" s="24"/>
      <c r="FN112" s="17"/>
      <c r="FZ112" s="17"/>
    </row>
    <row r="113" spans="3:182" ht="14.25" customHeight="1">
      <c r="C113" s="17"/>
      <c r="O113" s="17"/>
      <c r="AA113" s="17"/>
      <c r="AM113" s="17"/>
      <c r="AY113" s="17"/>
      <c r="BK113" s="17"/>
      <c r="BW113" s="17"/>
      <c r="CI113" s="17"/>
      <c r="CU113" s="17"/>
      <c r="DG113" s="17"/>
      <c r="DS113" s="17"/>
      <c r="EE113" s="17"/>
      <c r="EQ113" s="17"/>
      <c r="FC113" s="33"/>
      <c r="FD113" s="33"/>
      <c r="FE113" s="33"/>
      <c r="FF113" s="24"/>
      <c r="FG113" s="24"/>
      <c r="FH113" s="24"/>
      <c r="FI113" s="24"/>
      <c r="FJ113" s="24"/>
      <c r="FK113" s="24"/>
      <c r="FL113" s="24"/>
      <c r="FM113" s="24"/>
      <c r="FN113" s="17"/>
      <c r="FZ113" s="17"/>
    </row>
    <row r="114" spans="3:182" ht="14.25" customHeight="1">
      <c r="C114" s="17"/>
      <c r="O114" s="17"/>
      <c r="AA114" s="17"/>
      <c r="AM114" s="17"/>
      <c r="AY114" s="17"/>
      <c r="BK114" s="17"/>
      <c r="BW114" s="17"/>
      <c r="CI114" s="17"/>
      <c r="CU114" s="17"/>
      <c r="DG114" s="17"/>
      <c r="DS114" s="17"/>
      <c r="EE114" s="17"/>
      <c r="EQ114" s="17"/>
      <c r="FC114" s="33"/>
      <c r="FD114" s="33"/>
      <c r="FE114" s="33"/>
      <c r="FF114" s="24"/>
      <c r="FG114" s="24"/>
      <c r="FH114" s="24"/>
      <c r="FI114" s="24"/>
      <c r="FJ114" s="24"/>
      <c r="FK114" s="24"/>
      <c r="FL114" s="24"/>
      <c r="FM114" s="24"/>
      <c r="FN114" s="17"/>
      <c r="FZ114" s="17"/>
    </row>
    <row r="115" spans="3:182" ht="14.25" customHeight="1">
      <c r="C115" s="17"/>
      <c r="O115" s="17"/>
      <c r="AA115" s="17"/>
      <c r="AM115" s="17"/>
      <c r="AY115" s="17"/>
      <c r="BK115" s="17"/>
      <c r="BW115" s="17"/>
      <c r="CI115" s="17"/>
      <c r="CU115" s="17"/>
      <c r="DG115" s="17"/>
      <c r="DS115" s="17"/>
      <c r="EE115" s="17"/>
      <c r="EQ115" s="17"/>
      <c r="FC115" s="33"/>
      <c r="FD115" s="33"/>
      <c r="FE115" s="33"/>
      <c r="FF115" s="24"/>
      <c r="FG115" s="24"/>
      <c r="FH115" s="24"/>
      <c r="FI115" s="24"/>
      <c r="FJ115" s="24"/>
      <c r="FK115" s="24"/>
      <c r="FL115" s="24"/>
      <c r="FM115" s="24"/>
      <c r="FN115" s="17"/>
      <c r="FZ115" s="17"/>
    </row>
    <row r="116" spans="3:182" ht="14.25" customHeight="1">
      <c r="C116" s="17"/>
      <c r="O116" s="17"/>
      <c r="AA116" s="17"/>
      <c r="AM116" s="17"/>
      <c r="AY116" s="17"/>
      <c r="BK116" s="17"/>
      <c r="BW116" s="17"/>
      <c r="CI116" s="17"/>
      <c r="CU116" s="17"/>
      <c r="DG116" s="17"/>
      <c r="DS116" s="17"/>
      <c r="EE116" s="17"/>
      <c r="EQ116" s="17"/>
      <c r="FC116" s="33"/>
      <c r="FD116" s="33"/>
      <c r="FE116" s="33"/>
      <c r="FF116" s="24"/>
      <c r="FG116" s="24"/>
      <c r="FH116" s="24"/>
      <c r="FI116" s="24"/>
      <c r="FJ116" s="24"/>
      <c r="FK116" s="24"/>
      <c r="FL116" s="24"/>
      <c r="FM116" s="24"/>
      <c r="FN116" s="17"/>
      <c r="FZ116" s="17"/>
    </row>
    <row r="117" spans="3:182" ht="14.25" customHeight="1">
      <c r="C117" s="17"/>
      <c r="O117" s="17"/>
      <c r="AA117" s="17"/>
      <c r="AM117" s="17"/>
      <c r="AY117" s="17"/>
      <c r="BK117" s="17"/>
      <c r="BW117" s="17"/>
      <c r="CI117" s="17"/>
      <c r="CU117" s="17"/>
      <c r="DG117" s="17"/>
      <c r="DS117" s="17"/>
      <c r="EE117" s="17"/>
      <c r="EQ117" s="17"/>
      <c r="FC117" s="33"/>
      <c r="FD117" s="33"/>
      <c r="FE117" s="33"/>
      <c r="FF117" s="24"/>
      <c r="FG117" s="24"/>
      <c r="FH117" s="24"/>
      <c r="FI117" s="24"/>
      <c r="FJ117" s="24"/>
      <c r="FK117" s="24"/>
      <c r="FL117" s="24"/>
      <c r="FM117" s="24"/>
      <c r="FN117" s="17"/>
      <c r="FZ117" s="17"/>
    </row>
    <row r="118" spans="3:182" ht="14.25" customHeight="1">
      <c r="C118" s="46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7"/>
      <c r="AA118" s="17"/>
      <c r="AM118" s="17"/>
      <c r="AY118" s="17"/>
      <c r="BK118" s="17"/>
      <c r="BW118" s="17"/>
      <c r="CI118" s="17"/>
      <c r="CU118" s="17"/>
      <c r="DG118" s="17"/>
      <c r="DS118" s="17"/>
      <c r="EE118" s="17"/>
      <c r="EQ118" s="17"/>
      <c r="FC118" s="33"/>
      <c r="FD118" s="33"/>
      <c r="FE118" s="33"/>
      <c r="FF118" s="24"/>
      <c r="FG118" s="24"/>
      <c r="FH118" s="24"/>
      <c r="FI118" s="24"/>
      <c r="FJ118" s="24"/>
      <c r="FK118" s="24"/>
      <c r="FL118" s="24"/>
      <c r="FM118" s="24"/>
      <c r="FN118" s="17"/>
      <c r="FZ118" s="17"/>
    </row>
  </sheetData>
  <mergeCells count="16">
    <mergeCell ref="BK1:BV1"/>
    <mergeCell ref="BW1:CH1"/>
    <mergeCell ref="FN1:FY1"/>
    <mergeCell ref="FZ1:GK1"/>
    <mergeCell ref="CI1:CT1"/>
    <mergeCell ref="CU1:DF1"/>
    <mergeCell ref="DG1:DR1"/>
    <mergeCell ref="DS1:ED1"/>
    <mergeCell ref="EE1:EP1"/>
    <mergeCell ref="EQ1:FB1"/>
    <mergeCell ref="FC1:FM1"/>
    <mergeCell ref="C1:N1"/>
    <mergeCell ref="O1:Z1"/>
    <mergeCell ref="AA1:AL1"/>
    <mergeCell ref="AM1:AX1"/>
    <mergeCell ref="AY1:BJ1"/>
  </mergeCells>
  <conditionalFormatting sqref="G2:N9">
    <cfRule type="colorScale" priority="4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F2:FM9">
    <cfRule type="colorScale" priority="4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O3:FY9">
    <cfRule type="colorScale" priority="48">
      <colorScale>
        <cfvo type="percent" val="0"/>
        <cfvo type="percent" val="50"/>
        <cfvo type="percent" val="100"/>
        <color rgb="FFE67C73"/>
        <color rgb="FFFFFFFF"/>
        <color rgb="FF57BB8A"/>
      </colorScale>
    </cfRule>
  </conditionalFormatting>
  <conditionalFormatting sqref="GA3:GK9">
    <cfRule type="colorScale" priority="49">
      <colorScale>
        <cfvo type="percent" val="0"/>
        <cfvo type="percent" val="50"/>
        <cfvo type="percent" val="100"/>
        <color rgb="FFE67C73"/>
        <color rgb="FFFFFFFF"/>
        <color rgb="FF57BB8A"/>
      </colorScale>
    </cfRule>
  </conditionalFormatting>
  <dataValidations count="1">
    <dataValidation type="custom" allowBlank="1" showDropDown="1" sqref="G3:N9" xr:uid="{00000000-0002-0000-0000-000000000000}">
      <formula1>AND(ISNUMBER(G3),(NOT(OR(NOT(ISERROR(DATEVALUE(G3))), AND(ISNUMBER(G3), LEFT(CELL("format", G3))="D")))))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AEDFB"/>
  </sheetPr>
  <dimension ref="B1:H1000"/>
  <sheetViews>
    <sheetView workbookViewId="0"/>
  </sheetViews>
  <sheetFormatPr baseColWidth="10" defaultColWidth="12.6640625" defaultRowHeight="15" customHeight="1"/>
  <cols>
    <col min="1" max="1" width="4.5" customWidth="1"/>
    <col min="2" max="2" width="59.6640625" customWidth="1"/>
    <col min="3" max="3" width="13.83203125" customWidth="1"/>
    <col min="4" max="26" width="8.83203125" customWidth="1"/>
  </cols>
  <sheetData>
    <row r="1" spans="2:8" ht="14.25" customHeight="1"/>
    <row r="2" spans="2:8" ht="14.25" customHeight="1">
      <c r="B2" s="47" t="s">
        <v>81</v>
      </c>
      <c r="C2" s="47" t="s">
        <v>81</v>
      </c>
      <c r="D2" s="47"/>
      <c r="E2" s="47"/>
      <c r="F2" s="47"/>
      <c r="G2" s="47"/>
      <c r="H2" s="47"/>
    </row>
    <row r="3" spans="2:8" ht="14.25" customHeight="1">
      <c r="B3" s="27"/>
      <c r="C3" s="27"/>
      <c r="D3" s="27"/>
      <c r="E3" s="27"/>
      <c r="F3" s="27"/>
      <c r="G3" s="27"/>
      <c r="H3" s="27"/>
    </row>
    <row r="4" spans="2:8" ht="14.25" customHeight="1">
      <c r="B4" s="29" t="s">
        <v>81</v>
      </c>
      <c r="C4" s="27" t="s">
        <v>81</v>
      </c>
      <c r="D4" s="27" t="s">
        <v>81</v>
      </c>
      <c r="E4" s="27" t="s">
        <v>81</v>
      </c>
      <c r="F4" s="27" t="s">
        <v>81</v>
      </c>
      <c r="G4" s="27" t="s">
        <v>81</v>
      </c>
      <c r="H4" s="27" t="s">
        <v>81</v>
      </c>
    </row>
    <row r="5" spans="2:8" ht="14.25" customHeight="1">
      <c r="B5" s="27" t="s">
        <v>81</v>
      </c>
      <c r="C5" s="27" t="s">
        <v>81</v>
      </c>
      <c r="D5" s="27" t="s">
        <v>81</v>
      </c>
      <c r="E5" s="27" t="s">
        <v>81</v>
      </c>
      <c r="F5" s="27" t="s">
        <v>81</v>
      </c>
      <c r="G5" s="27" t="s">
        <v>81</v>
      </c>
      <c r="H5" s="27" t="s">
        <v>81</v>
      </c>
    </row>
    <row r="6" spans="2:8" ht="14.25" customHeight="1">
      <c r="B6" s="27" t="s">
        <v>81</v>
      </c>
      <c r="C6" s="27" t="s">
        <v>81</v>
      </c>
      <c r="D6" s="27" t="s">
        <v>81</v>
      </c>
      <c r="E6" s="27" t="s">
        <v>81</v>
      </c>
      <c r="F6" s="27" t="s">
        <v>81</v>
      </c>
      <c r="G6" s="27" t="s">
        <v>81</v>
      </c>
      <c r="H6" s="27" t="s">
        <v>81</v>
      </c>
    </row>
    <row r="7" spans="2:8" ht="14.25" customHeight="1">
      <c r="B7" s="29" t="s">
        <v>81</v>
      </c>
      <c r="C7" s="48" t="s">
        <v>81</v>
      </c>
      <c r="D7" s="48" t="s">
        <v>81</v>
      </c>
      <c r="E7" s="48" t="s">
        <v>81</v>
      </c>
      <c r="F7" s="48" t="s">
        <v>81</v>
      </c>
      <c r="G7" s="48" t="s">
        <v>81</v>
      </c>
      <c r="H7" s="48" t="s">
        <v>81</v>
      </c>
    </row>
    <row r="8" spans="2:8" ht="14.25" customHeight="1">
      <c r="B8" s="27"/>
      <c r="C8" s="27"/>
      <c r="D8" s="27"/>
      <c r="E8" s="27"/>
      <c r="F8" s="27"/>
      <c r="G8" s="27"/>
      <c r="H8" s="27"/>
    </row>
    <row r="9" spans="2:8" ht="14.25" customHeight="1">
      <c r="B9" s="29" t="s">
        <v>81</v>
      </c>
      <c r="C9" s="27" t="s">
        <v>81</v>
      </c>
      <c r="D9" s="27" t="s">
        <v>81</v>
      </c>
      <c r="E9" s="27" t="s">
        <v>81</v>
      </c>
      <c r="F9" s="27" t="s">
        <v>81</v>
      </c>
      <c r="G9" s="27" t="s">
        <v>81</v>
      </c>
      <c r="H9" s="27" t="s">
        <v>81</v>
      </c>
    </row>
    <row r="10" spans="2:8" ht="14.25" customHeight="1">
      <c r="B10" s="27" t="s">
        <v>81</v>
      </c>
      <c r="C10" s="27" t="s">
        <v>81</v>
      </c>
      <c r="D10" s="27" t="s">
        <v>81</v>
      </c>
      <c r="E10" s="27" t="s">
        <v>81</v>
      </c>
      <c r="F10" s="27" t="s">
        <v>81</v>
      </c>
      <c r="G10" s="27" t="s">
        <v>81</v>
      </c>
      <c r="H10" s="27" t="s">
        <v>81</v>
      </c>
    </row>
    <row r="11" spans="2:8" ht="14.25" customHeight="1">
      <c r="B11" s="27" t="s">
        <v>81</v>
      </c>
      <c r="C11" s="27" t="s">
        <v>81</v>
      </c>
      <c r="D11" s="27" t="s">
        <v>81</v>
      </c>
      <c r="E11" s="27" t="s">
        <v>81</v>
      </c>
      <c r="F11" s="27" t="s">
        <v>81</v>
      </c>
      <c r="G11" s="27" t="s">
        <v>81</v>
      </c>
      <c r="H11" s="27" t="s">
        <v>81</v>
      </c>
    </row>
    <row r="12" spans="2:8" ht="14.25" customHeight="1">
      <c r="B12" s="27" t="s">
        <v>81</v>
      </c>
      <c r="C12" s="27" t="s">
        <v>81</v>
      </c>
      <c r="D12" s="27" t="s">
        <v>81</v>
      </c>
      <c r="E12" s="27" t="s">
        <v>81</v>
      </c>
      <c r="F12" s="27" t="s">
        <v>81</v>
      </c>
      <c r="G12" s="27" t="s">
        <v>81</v>
      </c>
      <c r="H12" s="27" t="s">
        <v>81</v>
      </c>
    </row>
    <row r="13" spans="2:8" ht="14.25" customHeight="1">
      <c r="B13" s="27"/>
      <c r="C13" s="48" t="s">
        <v>81</v>
      </c>
      <c r="D13" s="48" t="s">
        <v>81</v>
      </c>
      <c r="E13" s="48" t="s">
        <v>81</v>
      </c>
      <c r="F13" s="48" t="s">
        <v>81</v>
      </c>
      <c r="G13" s="48" t="s">
        <v>81</v>
      </c>
      <c r="H13" s="48" t="s">
        <v>81</v>
      </c>
    </row>
    <row r="14" spans="2:8" ht="14.25" customHeight="1"/>
    <row r="15" spans="2:8" ht="14.25" customHeight="1">
      <c r="B15" s="47" t="s">
        <v>81</v>
      </c>
      <c r="C15" s="47" t="s">
        <v>81</v>
      </c>
      <c r="D15" s="47"/>
      <c r="E15" s="47"/>
      <c r="F15" s="47"/>
      <c r="G15" s="47"/>
      <c r="H15" s="47"/>
    </row>
    <row r="16" spans="2:8" ht="14.25" customHeight="1">
      <c r="B16" s="27"/>
      <c r="C16" s="27"/>
      <c r="D16" s="27"/>
      <c r="E16" s="27"/>
      <c r="F16" s="27"/>
      <c r="G16" s="27"/>
      <c r="H16" s="27"/>
    </row>
    <row r="17" spans="2:8" ht="14.25" customHeight="1">
      <c r="B17" s="29" t="s">
        <v>50</v>
      </c>
      <c r="C17" s="29" t="s">
        <v>51</v>
      </c>
      <c r="D17" s="49" t="s">
        <v>52</v>
      </c>
      <c r="E17" s="49" t="s">
        <v>53</v>
      </c>
      <c r="F17" s="49" t="s">
        <v>54</v>
      </c>
      <c r="G17" s="49" t="s">
        <v>55</v>
      </c>
      <c r="H17" s="49" t="s">
        <v>56</v>
      </c>
    </row>
    <row r="18" spans="2:8" ht="14.25" customHeight="1">
      <c r="B18" s="27" t="s">
        <v>57</v>
      </c>
      <c r="C18" s="50" t="s">
        <v>81</v>
      </c>
      <c r="D18" s="49" t="s">
        <v>81</v>
      </c>
      <c r="E18" s="49" t="s">
        <v>81</v>
      </c>
      <c r="F18" s="49" t="s">
        <v>81</v>
      </c>
      <c r="G18" s="49" t="s">
        <v>81</v>
      </c>
      <c r="H18" s="49" t="s">
        <v>81</v>
      </c>
    </row>
    <row r="19" spans="2:8" ht="14.25" customHeight="1">
      <c r="B19" s="27" t="s">
        <v>58</v>
      </c>
      <c r="C19" s="51" t="s">
        <v>81</v>
      </c>
      <c r="D19" s="49" t="s">
        <v>81</v>
      </c>
      <c r="E19" s="49" t="s">
        <v>81</v>
      </c>
      <c r="F19" s="49" t="s">
        <v>81</v>
      </c>
      <c r="G19" s="49" t="s">
        <v>81</v>
      </c>
      <c r="H19" s="49" t="s">
        <v>81</v>
      </c>
    </row>
    <row r="20" spans="2:8" ht="14.25" customHeight="1">
      <c r="B20" s="27" t="s">
        <v>59</v>
      </c>
      <c r="C20" s="48">
        <f t="shared" ref="C20:H20" si="0">SUM(C18:C19)</f>
        <v>0</v>
      </c>
      <c r="D20" s="52">
        <f t="shared" si="0"/>
        <v>0</v>
      </c>
      <c r="E20" s="52">
        <f t="shared" si="0"/>
        <v>0</v>
      </c>
      <c r="F20" s="52">
        <f t="shared" si="0"/>
        <v>0</v>
      </c>
      <c r="G20" s="52">
        <f t="shared" si="0"/>
        <v>0</v>
      </c>
      <c r="H20" s="52">
        <f t="shared" si="0"/>
        <v>0</v>
      </c>
    </row>
    <row r="21" spans="2:8" ht="14.25" customHeight="1">
      <c r="B21" s="27"/>
      <c r="C21" s="29"/>
      <c r="D21" s="49"/>
      <c r="E21" s="49"/>
      <c r="F21" s="49"/>
      <c r="G21" s="49"/>
      <c r="H21" s="49"/>
    </row>
    <row r="22" spans="2:8" ht="14.25" customHeight="1">
      <c r="B22" s="27"/>
      <c r="C22" s="27"/>
      <c r="D22" s="49"/>
      <c r="E22" s="49"/>
      <c r="F22" s="49"/>
      <c r="G22" s="49"/>
      <c r="H22" s="49"/>
    </row>
    <row r="23" spans="2:8" ht="14.25" customHeight="1">
      <c r="B23" s="29" t="s">
        <v>60</v>
      </c>
      <c r="C23" s="29" t="s">
        <v>51</v>
      </c>
      <c r="D23" s="49" t="s">
        <v>52</v>
      </c>
      <c r="E23" s="49" t="s">
        <v>53</v>
      </c>
      <c r="F23" s="49" t="s">
        <v>54</v>
      </c>
      <c r="G23" s="49" t="s">
        <v>55</v>
      </c>
      <c r="H23" s="49" t="s">
        <v>56</v>
      </c>
    </row>
    <row r="24" spans="2:8" ht="14.25" customHeight="1">
      <c r="B24" s="27" t="s">
        <v>61</v>
      </c>
      <c r="C24" s="50" t="s">
        <v>81</v>
      </c>
      <c r="D24" s="49" t="s">
        <v>81</v>
      </c>
      <c r="E24" s="49" t="s">
        <v>81</v>
      </c>
      <c r="F24" s="49" t="s">
        <v>81</v>
      </c>
      <c r="G24" s="49" t="s">
        <v>81</v>
      </c>
      <c r="H24" s="49" t="s">
        <v>81</v>
      </c>
    </row>
    <row r="25" spans="2:8" ht="14.25" customHeight="1">
      <c r="B25" s="27" t="s">
        <v>62</v>
      </c>
      <c r="C25" s="51" t="s">
        <v>81</v>
      </c>
      <c r="D25" s="49" t="s">
        <v>81</v>
      </c>
      <c r="E25" s="49" t="s">
        <v>81</v>
      </c>
      <c r="F25" s="49" t="s">
        <v>81</v>
      </c>
      <c r="G25" s="49" t="s">
        <v>81</v>
      </c>
      <c r="H25" s="49" t="s">
        <v>81</v>
      </c>
    </row>
    <row r="26" spans="2:8" ht="14.25" customHeight="1">
      <c r="B26" s="27" t="s">
        <v>59</v>
      </c>
      <c r="C26" s="48">
        <f t="shared" ref="C26:H26" si="1">SUM(C24:C25)</f>
        <v>0</v>
      </c>
      <c r="D26" s="52">
        <f t="shared" si="1"/>
        <v>0</v>
      </c>
      <c r="E26" s="52">
        <f t="shared" si="1"/>
        <v>0</v>
      </c>
      <c r="F26" s="52">
        <f t="shared" si="1"/>
        <v>0</v>
      </c>
      <c r="G26" s="52">
        <f t="shared" si="1"/>
        <v>0</v>
      </c>
      <c r="H26" s="52">
        <f t="shared" si="1"/>
        <v>0</v>
      </c>
    </row>
    <row r="27" spans="2:8" ht="14.25" customHeight="1">
      <c r="B27" s="27"/>
      <c r="C27" s="27"/>
      <c r="D27" s="49"/>
      <c r="E27" s="49"/>
      <c r="F27" s="49"/>
      <c r="G27" s="49"/>
      <c r="H27" s="49"/>
    </row>
    <row r="28" spans="2:8" ht="14.25" customHeight="1">
      <c r="B28" s="29" t="s">
        <v>63</v>
      </c>
      <c r="C28" s="29" t="s">
        <v>51</v>
      </c>
      <c r="D28" s="49" t="s">
        <v>52</v>
      </c>
      <c r="E28" s="49" t="s">
        <v>53</v>
      </c>
      <c r="F28" s="49" t="s">
        <v>54</v>
      </c>
      <c r="G28" s="49" t="s">
        <v>55</v>
      </c>
      <c r="H28" s="49" t="s">
        <v>56</v>
      </c>
    </row>
    <row r="29" spans="2:8" ht="14.25" customHeight="1">
      <c r="B29" s="27" t="s">
        <v>64</v>
      </c>
      <c r="C29" s="28" t="s">
        <v>81</v>
      </c>
      <c r="D29" s="49" t="s">
        <v>81</v>
      </c>
      <c r="E29" s="49" t="s">
        <v>81</v>
      </c>
      <c r="F29" s="49" t="s">
        <v>81</v>
      </c>
      <c r="G29" s="49" t="s">
        <v>81</v>
      </c>
      <c r="H29" s="49" t="s">
        <v>81</v>
      </c>
    </row>
    <row r="30" spans="2:8" ht="14.25" customHeight="1">
      <c r="B30" s="27" t="s">
        <v>65</v>
      </c>
      <c r="C30" s="39" t="s">
        <v>81</v>
      </c>
      <c r="D30" s="49" t="s">
        <v>81</v>
      </c>
      <c r="E30" s="49" t="s">
        <v>81</v>
      </c>
      <c r="F30" s="49" t="s">
        <v>81</v>
      </c>
      <c r="G30" s="49" t="s">
        <v>81</v>
      </c>
      <c r="H30" s="49" t="s">
        <v>81</v>
      </c>
    </row>
    <row r="31" spans="2:8" ht="14.25" customHeight="1">
      <c r="B31" s="27" t="s">
        <v>66</v>
      </c>
      <c r="C31" s="25" t="s">
        <v>81</v>
      </c>
      <c r="D31" s="49" t="s">
        <v>81</v>
      </c>
      <c r="E31" s="49" t="s">
        <v>81</v>
      </c>
      <c r="F31" s="49" t="s">
        <v>81</v>
      </c>
      <c r="G31" s="49" t="s">
        <v>81</v>
      </c>
      <c r="H31" s="49" t="s">
        <v>81</v>
      </c>
    </row>
    <row r="32" spans="2:8" ht="14.25" customHeight="1">
      <c r="B32" s="27"/>
      <c r="C32" s="48">
        <f t="shared" ref="C32:H32" si="2">SUM(C29:C31)</f>
        <v>0</v>
      </c>
      <c r="D32" s="52">
        <f t="shared" si="2"/>
        <v>0</v>
      </c>
      <c r="E32" s="52">
        <f t="shared" si="2"/>
        <v>0</v>
      </c>
      <c r="F32" s="52">
        <f t="shared" si="2"/>
        <v>0</v>
      </c>
      <c r="G32" s="52">
        <f t="shared" si="2"/>
        <v>0</v>
      </c>
      <c r="H32" s="52">
        <f t="shared" si="2"/>
        <v>0</v>
      </c>
    </row>
    <row r="33" spans="2:8" ht="14.25" customHeight="1"/>
    <row r="34" spans="2:8" ht="14.25" customHeight="1">
      <c r="B34" s="47" t="s">
        <v>67</v>
      </c>
      <c r="C34" s="47">
        <f>C39+C51</f>
        <v>0</v>
      </c>
      <c r="D34" s="47"/>
      <c r="E34" s="47"/>
      <c r="F34" s="47"/>
      <c r="G34" s="47"/>
      <c r="H34" s="47"/>
    </row>
    <row r="35" spans="2:8" ht="14.25" customHeight="1">
      <c r="B35" s="27"/>
      <c r="C35" s="27"/>
      <c r="D35" s="27"/>
      <c r="E35" s="27"/>
      <c r="F35" s="27"/>
      <c r="G35" s="27"/>
      <c r="H35" s="27"/>
    </row>
    <row r="36" spans="2:8" ht="14.25" customHeight="1">
      <c r="B36" s="29" t="s">
        <v>68</v>
      </c>
      <c r="C36" s="29" t="s">
        <v>51</v>
      </c>
      <c r="D36" s="27" t="s">
        <v>52</v>
      </c>
      <c r="E36" s="27" t="s">
        <v>53</v>
      </c>
      <c r="F36" s="27" t="s">
        <v>54</v>
      </c>
      <c r="G36" s="27" t="s">
        <v>55</v>
      </c>
      <c r="H36" s="27" t="s">
        <v>56</v>
      </c>
    </row>
    <row r="37" spans="2:8" ht="14.25" customHeight="1">
      <c r="B37" s="27" t="s">
        <v>57</v>
      </c>
      <c r="C37" s="50" t="s">
        <v>81</v>
      </c>
      <c r="D37" s="27" t="s">
        <v>81</v>
      </c>
      <c r="E37" s="27" t="s">
        <v>81</v>
      </c>
      <c r="F37" s="27" t="s">
        <v>81</v>
      </c>
      <c r="G37" s="27" t="s">
        <v>81</v>
      </c>
      <c r="H37" s="27" t="s">
        <v>81</v>
      </c>
    </row>
    <row r="38" spans="2:8" ht="14.25" customHeight="1">
      <c r="B38" s="27" t="s">
        <v>58</v>
      </c>
      <c r="C38" s="51" t="s">
        <v>81</v>
      </c>
      <c r="D38" s="27" t="s">
        <v>81</v>
      </c>
      <c r="E38" s="27" t="s">
        <v>81</v>
      </c>
      <c r="F38" s="27" t="s">
        <v>81</v>
      </c>
      <c r="G38" s="27" t="s">
        <v>81</v>
      </c>
      <c r="H38" s="27" t="s">
        <v>81</v>
      </c>
    </row>
    <row r="39" spans="2:8" ht="14.25" customHeight="1">
      <c r="B39" s="27" t="s">
        <v>59</v>
      </c>
      <c r="C39" s="48">
        <f t="shared" ref="C39:H39" si="3">SUM(C37:C38)</f>
        <v>0</v>
      </c>
      <c r="D39" s="48">
        <f t="shared" si="3"/>
        <v>0</v>
      </c>
      <c r="E39" s="48">
        <f t="shared" si="3"/>
        <v>0</v>
      </c>
      <c r="F39" s="48">
        <f t="shared" si="3"/>
        <v>0</v>
      </c>
      <c r="G39" s="48">
        <f t="shared" si="3"/>
        <v>0</v>
      </c>
      <c r="H39" s="48">
        <f t="shared" si="3"/>
        <v>0</v>
      </c>
    </row>
    <row r="40" spans="2:8" ht="14.25" customHeight="1">
      <c r="B40" s="27"/>
      <c r="C40" s="29"/>
      <c r="D40" s="27"/>
      <c r="E40" s="27"/>
      <c r="F40" s="27"/>
      <c r="G40" s="27"/>
      <c r="H40" s="27"/>
    </row>
    <row r="41" spans="2:8" ht="14.25" customHeight="1">
      <c r="B41" s="29"/>
      <c r="C41" s="29"/>
      <c r="D41" s="27"/>
      <c r="E41" s="27"/>
      <c r="F41" s="27"/>
      <c r="G41" s="27"/>
      <c r="H41" s="27"/>
    </row>
    <row r="42" spans="2:8" ht="14.25" customHeight="1">
      <c r="B42" s="29" t="s">
        <v>69</v>
      </c>
      <c r="C42" s="29" t="s">
        <v>51</v>
      </c>
      <c r="D42" s="27" t="s">
        <v>52</v>
      </c>
      <c r="E42" s="27" t="s">
        <v>53</v>
      </c>
      <c r="F42" s="27" t="s">
        <v>54</v>
      </c>
      <c r="G42" s="27" t="s">
        <v>55</v>
      </c>
      <c r="H42" s="27" t="s">
        <v>56</v>
      </c>
    </row>
    <row r="43" spans="2:8" ht="14.25" customHeight="1">
      <c r="B43" s="27" t="s">
        <v>64</v>
      </c>
      <c r="C43" s="50" t="s">
        <v>81</v>
      </c>
      <c r="D43" s="27" t="s">
        <v>81</v>
      </c>
      <c r="E43" s="27" t="s">
        <v>81</v>
      </c>
      <c r="F43" s="27" t="s">
        <v>81</v>
      </c>
      <c r="G43" s="27" t="s">
        <v>81</v>
      </c>
      <c r="H43" s="27" t="s">
        <v>81</v>
      </c>
    </row>
    <row r="44" spans="2:8" ht="14.25" customHeight="1">
      <c r="B44" s="27" t="s">
        <v>62</v>
      </c>
      <c r="C44" s="51" t="s">
        <v>81</v>
      </c>
      <c r="D44" s="27" t="s">
        <v>81</v>
      </c>
      <c r="E44" s="27" t="s">
        <v>81</v>
      </c>
      <c r="F44" s="27" t="s">
        <v>81</v>
      </c>
      <c r="G44" s="27" t="s">
        <v>81</v>
      </c>
      <c r="H44" s="27" t="s">
        <v>81</v>
      </c>
    </row>
    <row r="45" spans="2:8" ht="14.25" customHeight="1">
      <c r="B45" s="27" t="s">
        <v>59</v>
      </c>
      <c r="C45" s="48">
        <f t="shared" ref="C45:H45" si="4">SUM(C43:C44)</f>
        <v>0</v>
      </c>
      <c r="D45" s="53">
        <f t="shared" si="4"/>
        <v>0</v>
      </c>
      <c r="E45" s="53">
        <f t="shared" si="4"/>
        <v>0</v>
      </c>
      <c r="F45" s="53">
        <f t="shared" si="4"/>
        <v>0</v>
      </c>
      <c r="G45" s="53">
        <f t="shared" si="4"/>
        <v>0</v>
      </c>
      <c r="H45" s="53">
        <f t="shared" si="4"/>
        <v>0</v>
      </c>
    </row>
    <row r="46" spans="2:8" ht="14.25" customHeight="1">
      <c r="B46" s="29"/>
      <c r="C46" s="29"/>
      <c r="D46" s="27"/>
      <c r="E46" s="27"/>
      <c r="F46" s="27"/>
      <c r="G46" s="27"/>
      <c r="H46" s="27"/>
    </row>
    <row r="47" spans="2:8" ht="14.25" customHeight="1">
      <c r="B47" s="29" t="s">
        <v>70</v>
      </c>
      <c r="C47" s="29" t="s">
        <v>51</v>
      </c>
      <c r="D47" s="27" t="s">
        <v>52</v>
      </c>
      <c r="E47" s="27" t="s">
        <v>53</v>
      </c>
      <c r="F47" s="27" t="s">
        <v>54</v>
      </c>
      <c r="G47" s="27" t="s">
        <v>55</v>
      </c>
      <c r="H47" s="27" t="s">
        <v>56</v>
      </c>
    </row>
    <row r="48" spans="2:8" ht="14.25" customHeight="1">
      <c r="B48" s="27" t="s">
        <v>64</v>
      </c>
      <c r="C48" s="28" t="s">
        <v>81</v>
      </c>
      <c r="D48" s="27" t="s">
        <v>81</v>
      </c>
      <c r="E48" s="27" t="s">
        <v>81</v>
      </c>
      <c r="F48" s="27" t="s">
        <v>81</v>
      </c>
      <c r="G48" s="27" t="s">
        <v>81</v>
      </c>
      <c r="H48" s="27" t="s">
        <v>81</v>
      </c>
    </row>
    <row r="49" spans="2:8" ht="14.25" customHeight="1">
      <c r="B49" s="27" t="s">
        <v>65</v>
      </c>
      <c r="C49" s="39" t="s">
        <v>81</v>
      </c>
      <c r="D49" s="27" t="s">
        <v>81</v>
      </c>
      <c r="E49" s="27" t="s">
        <v>81</v>
      </c>
      <c r="F49" s="27" t="s">
        <v>81</v>
      </c>
      <c r="G49" s="27" t="s">
        <v>81</v>
      </c>
      <c r="H49" s="27" t="s">
        <v>81</v>
      </c>
    </row>
    <row r="50" spans="2:8" ht="14.25" customHeight="1">
      <c r="B50" s="27" t="s">
        <v>66</v>
      </c>
      <c r="C50" s="25" t="s">
        <v>81</v>
      </c>
      <c r="D50" s="27" t="s">
        <v>81</v>
      </c>
      <c r="E50" s="27" t="s">
        <v>81</v>
      </c>
      <c r="F50" s="27" t="s">
        <v>81</v>
      </c>
      <c r="G50" s="27" t="s">
        <v>81</v>
      </c>
      <c r="H50" s="27" t="s">
        <v>81</v>
      </c>
    </row>
    <row r="51" spans="2:8" ht="14.25" customHeight="1">
      <c r="B51" s="27"/>
      <c r="C51" s="48">
        <f t="shared" ref="C51:H51" si="5">SUM(C48:C50)</f>
        <v>0</v>
      </c>
      <c r="D51" s="53">
        <f t="shared" si="5"/>
        <v>0</v>
      </c>
      <c r="E51" s="53">
        <f t="shared" si="5"/>
        <v>0</v>
      </c>
      <c r="F51" s="53">
        <f t="shared" si="5"/>
        <v>0</v>
      </c>
      <c r="G51" s="53">
        <f t="shared" si="5"/>
        <v>0</v>
      </c>
      <c r="H51" s="53">
        <f t="shared" si="5"/>
        <v>0</v>
      </c>
    </row>
    <row r="52" spans="2:8" ht="14.25" customHeight="1"/>
    <row r="53" spans="2:8" ht="14.25" customHeight="1">
      <c r="B53" s="45" t="s">
        <v>71</v>
      </c>
      <c r="C53" s="4">
        <f>C61+C67</f>
        <v>0</v>
      </c>
      <c r="D53" s="45"/>
      <c r="E53" s="45"/>
      <c r="F53" s="45"/>
      <c r="G53" s="45"/>
      <c r="H53" s="45"/>
    </row>
    <row r="54" spans="2:8" ht="14.25" customHeight="1"/>
    <row r="55" spans="2:8" ht="14.25" customHeight="1">
      <c r="B55" s="12" t="s">
        <v>59</v>
      </c>
    </row>
    <row r="56" spans="2:8" ht="14.25" customHeight="1">
      <c r="B56" s="13" t="s">
        <v>72</v>
      </c>
      <c r="C56" s="13" t="s">
        <v>51</v>
      </c>
      <c r="D56" s="12" t="s">
        <v>52</v>
      </c>
      <c r="E56" s="12" t="s">
        <v>53</v>
      </c>
      <c r="F56" s="12" t="s">
        <v>54</v>
      </c>
      <c r="G56" s="12" t="s">
        <v>55</v>
      </c>
      <c r="H56" s="12" t="s">
        <v>56</v>
      </c>
    </row>
    <row r="57" spans="2:8" ht="14.25" customHeight="1">
      <c r="B57" s="24" t="s">
        <v>61</v>
      </c>
      <c r="C57" s="28" t="s">
        <v>81</v>
      </c>
      <c r="D57" s="12" t="s">
        <v>81</v>
      </c>
      <c r="E57" s="12" t="s">
        <v>81</v>
      </c>
      <c r="F57" s="12" t="s">
        <v>81</v>
      </c>
      <c r="G57" s="12" t="s">
        <v>81</v>
      </c>
      <c r="H57" s="12" t="s">
        <v>81</v>
      </c>
    </row>
    <row r="58" spans="2:8" ht="14.25" customHeight="1">
      <c r="B58" s="24" t="s">
        <v>62</v>
      </c>
      <c r="C58" s="39" t="s">
        <v>81</v>
      </c>
      <c r="D58" s="12" t="s">
        <v>81</v>
      </c>
      <c r="E58" s="12" t="s">
        <v>81</v>
      </c>
      <c r="F58" s="12" t="s">
        <v>81</v>
      </c>
      <c r="G58" s="12" t="s">
        <v>81</v>
      </c>
      <c r="H58" s="12" t="s">
        <v>81</v>
      </c>
    </row>
    <row r="59" spans="2:8" ht="14.25" customHeight="1">
      <c r="B59" s="24" t="s">
        <v>66</v>
      </c>
      <c r="C59" s="39" t="s">
        <v>81</v>
      </c>
      <c r="D59" s="12" t="s">
        <v>81</v>
      </c>
      <c r="E59" s="12" t="s">
        <v>81</v>
      </c>
      <c r="F59" s="12" t="s">
        <v>81</v>
      </c>
      <c r="G59" s="12" t="s">
        <v>81</v>
      </c>
      <c r="H59" s="12" t="s">
        <v>81</v>
      </c>
    </row>
    <row r="60" spans="2:8" ht="14.25" customHeight="1">
      <c r="B60" s="24" t="s">
        <v>73</v>
      </c>
      <c r="C60" s="25" t="s">
        <v>81</v>
      </c>
      <c r="D60" s="12" t="s">
        <v>81</v>
      </c>
      <c r="E60" s="12" t="s">
        <v>81</v>
      </c>
      <c r="F60" s="12" t="s">
        <v>81</v>
      </c>
      <c r="G60" s="12" t="s">
        <v>81</v>
      </c>
      <c r="H60" s="12" t="s">
        <v>81</v>
      </c>
    </row>
    <row r="61" spans="2:8" ht="14.25" customHeight="1">
      <c r="B61" s="12" t="s">
        <v>59</v>
      </c>
      <c r="C61" s="13">
        <f t="shared" ref="C61:H61" si="6">SUM(C57:C60)</f>
        <v>0</v>
      </c>
      <c r="D61" s="44">
        <f t="shared" si="6"/>
        <v>0</v>
      </c>
      <c r="E61" s="44">
        <f t="shared" si="6"/>
        <v>0</v>
      </c>
      <c r="F61" s="44">
        <f t="shared" si="6"/>
        <v>0</v>
      </c>
      <c r="G61" s="44">
        <f t="shared" si="6"/>
        <v>0</v>
      </c>
      <c r="H61" s="44">
        <f t="shared" si="6"/>
        <v>0</v>
      </c>
    </row>
    <row r="62" spans="2:8" ht="14.25" customHeight="1"/>
    <row r="63" spans="2:8" ht="14.25" customHeight="1">
      <c r="B63" s="13" t="s">
        <v>72</v>
      </c>
      <c r="C63" s="13" t="s">
        <v>51</v>
      </c>
      <c r="D63" s="12" t="s">
        <v>52</v>
      </c>
      <c r="E63" s="12" t="s">
        <v>53</v>
      </c>
      <c r="F63" s="12" t="s">
        <v>54</v>
      </c>
      <c r="G63" s="12" t="s">
        <v>55</v>
      </c>
      <c r="H63" s="12" t="s">
        <v>56</v>
      </c>
    </row>
    <row r="64" spans="2:8" ht="14.25" customHeight="1">
      <c r="B64" s="24" t="s">
        <v>61</v>
      </c>
      <c r="C64" s="28" t="s">
        <v>81</v>
      </c>
      <c r="D64" s="12" t="s">
        <v>81</v>
      </c>
      <c r="E64" s="12" t="s">
        <v>81</v>
      </c>
      <c r="F64" s="12" t="s">
        <v>81</v>
      </c>
      <c r="G64" s="12" t="s">
        <v>81</v>
      </c>
      <c r="H64" s="12" t="s">
        <v>81</v>
      </c>
    </row>
    <row r="65" spans="2:8" ht="14.25" customHeight="1">
      <c r="B65" s="24" t="s">
        <v>62</v>
      </c>
      <c r="C65" s="39" t="s">
        <v>81</v>
      </c>
      <c r="D65" s="12" t="s">
        <v>81</v>
      </c>
      <c r="E65" s="12" t="s">
        <v>81</v>
      </c>
      <c r="F65" s="12" t="s">
        <v>81</v>
      </c>
      <c r="G65" s="12" t="s">
        <v>81</v>
      </c>
      <c r="H65" s="12" t="s">
        <v>81</v>
      </c>
    </row>
    <row r="66" spans="2:8" ht="14.25" customHeight="1">
      <c r="B66" s="24" t="s">
        <v>66</v>
      </c>
      <c r="C66" s="25" t="s">
        <v>81</v>
      </c>
      <c r="D66" s="12" t="s">
        <v>81</v>
      </c>
      <c r="E66" s="12" t="s">
        <v>81</v>
      </c>
      <c r="F66" s="12" t="s">
        <v>81</v>
      </c>
      <c r="G66" s="12" t="s">
        <v>81</v>
      </c>
      <c r="H66" s="12" t="s">
        <v>81</v>
      </c>
    </row>
    <row r="67" spans="2:8" ht="14.25" customHeight="1">
      <c r="B67" s="12" t="s">
        <v>59</v>
      </c>
      <c r="C67" s="13">
        <f t="shared" ref="C67:H67" si="7">SUM(C64:C66)</f>
        <v>0</v>
      </c>
      <c r="D67" s="44">
        <f t="shared" si="7"/>
        <v>0</v>
      </c>
      <c r="E67" s="44">
        <f t="shared" si="7"/>
        <v>0</v>
      </c>
      <c r="F67" s="44">
        <f t="shared" si="7"/>
        <v>0</v>
      </c>
      <c r="G67" s="44">
        <f t="shared" si="7"/>
        <v>0</v>
      </c>
      <c r="H67" s="44">
        <f t="shared" si="7"/>
        <v>0</v>
      </c>
    </row>
    <row r="68" spans="2:8" ht="14.25" customHeight="1"/>
    <row r="69" spans="2:8" ht="14.25" customHeight="1">
      <c r="B69" s="45" t="s">
        <v>74</v>
      </c>
      <c r="C69" s="4">
        <f>C76</f>
        <v>0</v>
      </c>
      <c r="D69" s="45"/>
      <c r="E69" s="45"/>
      <c r="F69" s="45"/>
      <c r="G69" s="45"/>
      <c r="H69" s="45"/>
    </row>
    <row r="70" spans="2:8" ht="14.25" customHeight="1"/>
    <row r="71" spans="2:8" ht="14.25" customHeight="1">
      <c r="B71" s="13" t="s">
        <v>81</v>
      </c>
      <c r="C71" s="54" t="s">
        <v>51</v>
      </c>
      <c r="D71" s="12" t="s">
        <v>52</v>
      </c>
      <c r="E71" s="12" t="s">
        <v>53</v>
      </c>
      <c r="F71" s="12" t="s">
        <v>54</v>
      </c>
      <c r="G71" s="12" t="s">
        <v>55</v>
      </c>
      <c r="H71" s="12" t="s">
        <v>56</v>
      </c>
    </row>
    <row r="72" spans="2:8" ht="14.25" customHeight="1">
      <c r="B72" s="24" t="s">
        <v>61</v>
      </c>
      <c r="C72" s="28" t="s">
        <v>81</v>
      </c>
      <c r="D72" s="26" t="s">
        <v>81</v>
      </c>
      <c r="E72" s="26" t="s">
        <v>81</v>
      </c>
      <c r="F72" s="26" t="s">
        <v>81</v>
      </c>
      <c r="G72" s="26" t="s">
        <v>81</v>
      </c>
      <c r="H72" s="26" t="s">
        <v>81</v>
      </c>
    </row>
    <row r="73" spans="2:8" ht="14.25" customHeight="1">
      <c r="B73" s="24" t="s">
        <v>62</v>
      </c>
      <c r="C73" s="39" t="s">
        <v>81</v>
      </c>
      <c r="D73" s="26" t="s">
        <v>81</v>
      </c>
      <c r="E73" s="26" t="s">
        <v>81</v>
      </c>
      <c r="F73" s="26" t="s">
        <v>81</v>
      </c>
      <c r="G73" s="26" t="s">
        <v>81</v>
      </c>
      <c r="H73" s="26" t="s">
        <v>81</v>
      </c>
    </row>
    <row r="74" spans="2:8" ht="14.25" customHeight="1">
      <c r="B74" s="24" t="s">
        <v>66</v>
      </c>
      <c r="C74" s="39" t="s">
        <v>81</v>
      </c>
      <c r="D74" s="26" t="s">
        <v>81</v>
      </c>
      <c r="E74" s="26" t="s">
        <v>81</v>
      </c>
      <c r="F74" s="26" t="s">
        <v>81</v>
      </c>
      <c r="G74" s="26" t="s">
        <v>81</v>
      </c>
      <c r="H74" s="26" t="s">
        <v>81</v>
      </c>
    </row>
    <row r="75" spans="2:8" ht="14.25" customHeight="1">
      <c r="B75" s="24" t="s">
        <v>73</v>
      </c>
      <c r="C75" s="39" t="s">
        <v>81</v>
      </c>
      <c r="D75" s="26" t="s">
        <v>81</v>
      </c>
      <c r="E75" s="26" t="s">
        <v>81</v>
      </c>
      <c r="F75" s="26" t="s">
        <v>81</v>
      </c>
      <c r="G75" s="26" t="s">
        <v>81</v>
      </c>
      <c r="H75" s="26" t="s">
        <v>81</v>
      </c>
    </row>
    <row r="76" spans="2:8" ht="14.25" customHeight="1">
      <c r="B76" s="12" t="s">
        <v>59</v>
      </c>
      <c r="C76" s="44">
        <f t="shared" ref="C76:H76" si="8">SUM(C72:C75)</f>
        <v>0</v>
      </c>
      <c r="D76" s="43">
        <f t="shared" si="8"/>
        <v>0</v>
      </c>
      <c r="E76" s="43">
        <f t="shared" si="8"/>
        <v>0</v>
      </c>
      <c r="F76" s="43">
        <f t="shared" si="8"/>
        <v>0</v>
      </c>
      <c r="G76" s="43">
        <f t="shared" si="8"/>
        <v>0</v>
      </c>
      <c r="H76" s="43">
        <f t="shared" si="8"/>
        <v>0</v>
      </c>
    </row>
    <row r="77" spans="2:8" ht="14.25" customHeight="1"/>
    <row r="78" spans="2:8" ht="14.25" customHeight="1">
      <c r="B78" s="45" t="s">
        <v>75</v>
      </c>
      <c r="C78" s="4">
        <f>C85+C92</f>
        <v>0</v>
      </c>
      <c r="D78" s="45"/>
      <c r="E78" s="45"/>
      <c r="F78" s="45"/>
      <c r="G78" s="45"/>
      <c r="H78" s="45"/>
    </row>
    <row r="79" spans="2:8" ht="14.25" customHeight="1"/>
    <row r="80" spans="2:8" ht="14.25" customHeight="1">
      <c r="B80" s="29" t="s">
        <v>81</v>
      </c>
      <c r="C80" s="29" t="s">
        <v>51</v>
      </c>
      <c r="D80" s="27" t="s">
        <v>52</v>
      </c>
      <c r="E80" s="27" t="s">
        <v>53</v>
      </c>
      <c r="F80" s="27" t="s">
        <v>54</v>
      </c>
      <c r="G80" s="27" t="s">
        <v>55</v>
      </c>
      <c r="H80" s="27" t="s">
        <v>56</v>
      </c>
    </row>
    <row r="81" spans="2:8" ht="14.25" customHeight="1">
      <c r="B81" s="27" t="s">
        <v>76</v>
      </c>
      <c r="C81" s="27" t="s">
        <v>81</v>
      </c>
      <c r="D81" s="27" t="s">
        <v>81</v>
      </c>
      <c r="E81" s="27" t="s">
        <v>81</v>
      </c>
      <c r="F81" s="27" t="s">
        <v>81</v>
      </c>
      <c r="G81" s="27" t="s">
        <v>81</v>
      </c>
      <c r="H81" s="27" t="s">
        <v>81</v>
      </c>
    </row>
    <row r="82" spans="2:8" ht="14.25" customHeight="1">
      <c r="B82" s="27" t="s">
        <v>61</v>
      </c>
      <c r="C82" s="50" t="s">
        <v>81</v>
      </c>
      <c r="D82" s="27" t="s">
        <v>81</v>
      </c>
      <c r="E82" s="27" t="s">
        <v>81</v>
      </c>
      <c r="F82" s="27" t="s">
        <v>81</v>
      </c>
      <c r="G82" s="27" t="s">
        <v>81</v>
      </c>
      <c r="H82" s="27" t="s">
        <v>81</v>
      </c>
    </row>
    <row r="83" spans="2:8" ht="14.25" customHeight="1">
      <c r="B83" s="27" t="s">
        <v>62</v>
      </c>
      <c r="C83" s="51" t="s">
        <v>81</v>
      </c>
      <c r="D83" s="27" t="s">
        <v>81</v>
      </c>
      <c r="E83" s="27" t="s">
        <v>81</v>
      </c>
      <c r="F83" s="27" t="s">
        <v>81</v>
      </c>
      <c r="G83" s="27" t="s">
        <v>81</v>
      </c>
      <c r="H83" s="27" t="s">
        <v>81</v>
      </c>
    </row>
    <row r="84" spans="2:8" ht="14.25" customHeight="1">
      <c r="B84" s="27" t="s">
        <v>66</v>
      </c>
      <c r="C84" s="51" t="s">
        <v>81</v>
      </c>
      <c r="D84" s="27" t="s">
        <v>81</v>
      </c>
      <c r="E84" s="27" t="s">
        <v>81</v>
      </c>
      <c r="F84" s="27" t="s">
        <v>81</v>
      </c>
      <c r="G84" s="27" t="s">
        <v>81</v>
      </c>
      <c r="H84" s="27" t="s">
        <v>81</v>
      </c>
    </row>
    <row r="85" spans="2:8" ht="14.25" customHeight="1">
      <c r="B85" s="27" t="s">
        <v>59</v>
      </c>
      <c r="C85" s="48">
        <f t="shared" ref="C85:H85" si="9">SUM(C82:C84)</f>
        <v>0</v>
      </c>
      <c r="D85" s="53">
        <f t="shared" si="9"/>
        <v>0</v>
      </c>
      <c r="E85" s="53">
        <f t="shared" si="9"/>
        <v>0</v>
      </c>
      <c r="F85" s="53">
        <f t="shared" si="9"/>
        <v>0</v>
      </c>
      <c r="G85" s="53">
        <f t="shared" si="9"/>
        <v>0</v>
      </c>
      <c r="H85" s="53">
        <f t="shared" si="9"/>
        <v>0</v>
      </c>
    </row>
    <row r="86" spans="2:8" ht="14.25" customHeight="1">
      <c r="B86" s="27"/>
      <c r="C86" s="27"/>
      <c r="D86" s="27"/>
      <c r="E86" s="27"/>
      <c r="F86" s="27"/>
      <c r="G86" s="27"/>
      <c r="H86" s="27"/>
    </row>
    <row r="87" spans="2:8" ht="14.25" customHeight="1">
      <c r="B87" s="29" t="s">
        <v>81</v>
      </c>
      <c r="C87" s="29" t="s">
        <v>51</v>
      </c>
      <c r="D87" s="27" t="s">
        <v>52</v>
      </c>
      <c r="E87" s="27" t="s">
        <v>53</v>
      </c>
      <c r="F87" s="27" t="s">
        <v>54</v>
      </c>
      <c r="G87" s="27" t="s">
        <v>55</v>
      </c>
      <c r="H87" s="27" t="s">
        <v>56</v>
      </c>
    </row>
    <row r="88" spans="2:8" ht="14.25" customHeight="1">
      <c r="B88" s="27" t="s">
        <v>61</v>
      </c>
      <c r="C88" s="50" t="s">
        <v>81</v>
      </c>
      <c r="D88" s="27" t="s">
        <v>81</v>
      </c>
      <c r="E88" s="27" t="s">
        <v>81</v>
      </c>
      <c r="F88" s="27" t="s">
        <v>81</v>
      </c>
      <c r="G88" s="27" t="s">
        <v>81</v>
      </c>
      <c r="H88" s="27" t="s">
        <v>81</v>
      </c>
    </row>
    <row r="89" spans="2:8" ht="14.25" customHeight="1">
      <c r="B89" s="27" t="s">
        <v>62</v>
      </c>
      <c r="C89" s="51" t="s">
        <v>81</v>
      </c>
      <c r="D89" s="27" t="s">
        <v>81</v>
      </c>
      <c r="E89" s="27" t="s">
        <v>81</v>
      </c>
      <c r="F89" s="27" t="s">
        <v>81</v>
      </c>
      <c r="G89" s="27" t="s">
        <v>81</v>
      </c>
      <c r="H89" s="27" t="s">
        <v>81</v>
      </c>
    </row>
    <row r="90" spans="2:8" ht="14.25" customHeight="1">
      <c r="B90" s="27" t="s">
        <v>66</v>
      </c>
      <c r="C90" s="51" t="s">
        <v>81</v>
      </c>
      <c r="D90" s="27" t="s">
        <v>81</v>
      </c>
      <c r="E90" s="27" t="s">
        <v>81</v>
      </c>
      <c r="F90" s="27" t="s">
        <v>81</v>
      </c>
      <c r="G90" s="27" t="s">
        <v>81</v>
      </c>
      <c r="H90" s="27" t="s">
        <v>81</v>
      </c>
    </row>
    <row r="91" spans="2:8" ht="14.25" customHeight="1">
      <c r="B91" s="27" t="s">
        <v>73</v>
      </c>
      <c r="C91" s="51" t="s">
        <v>81</v>
      </c>
      <c r="D91" s="27" t="s">
        <v>81</v>
      </c>
      <c r="E91" s="27" t="s">
        <v>81</v>
      </c>
      <c r="F91" s="27" t="s">
        <v>81</v>
      </c>
      <c r="G91" s="27" t="s">
        <v>81</v>
      </c>
      <c r="H91" s="27" t="s">
        <v>81</v>
      </c>
    </row>
    <row r="92" spans="2:8" ht="14.25" customHeight="1">
      <c r="B92" s="27" t="s">
        <v>59</v>
      </c>
      <c r="C92" s="48">
        <f t="shared" ref="C92:H92" si="10">SUM(C88:C91)</f>
        <v>0</v>
      </c>
      <c r="D92" s="53">
        <f t="shared" si="10"/>
        <v>0</v>
      </c>
      <c r="E92" s="53">
        <f t="shared" si="10"/>
        <v>0</v>
      </c>
      <c r="F92" s="53">
        <f t="shared" si="10"/>
        <v>0</v>
      </c>
      <c r="G92" s="53">
        <f t="shared" si="10"/>
        <v>0</v>
      </c>
      <c r="H92" s="53">
        <f t="shared" si="10"/>
        <v>0</v>
      </c>
    </row>
    <row r="93" spans="2:8" ht="14.25" customHeight="1"/>
    <row r="94" spans="2:8" ht="14.25" customHeight="1">
      <c r="B94" s="27" t="s">
        <v>77</v>
      </c>
    </row>
    <row r="95" spans="2:8" ht="14.25" customHeight="1">
      <c r="B95" s="12">
        <v>2025</v>
      </c>
      <c r="C95" s="12" t="e">
        <f>C5+C10+C18+C24+C29+C37+C57+C64+C72+C82+C88+C48</f>
        <v>#VALUE!</v>
      </c>
    </row>
    <row r="96" spans="2:8" ht="14.25" customHeight="1">
      <c r="B96" s="12">
        <v>2026</v>
      </c>
      <c r="C96" s="12" t="e">
        <f>C6+C11+C19+C25+C30+C38+C49+C58+C65+C73+C83+C89</f>
        <v>#VALUE!</v>
      </c>
    </row>
    <row r="97" spans="2:3" ht="14.25" customHeight="1">
      <c r="B97" s="12">
        <v>2027</v>
      </c>
      <c r="C97" s="12" t="e">
        <f>C12+C31+C50+C59+C66+C74+C84+C90</f>
        <v>#VALUE!</v>
      </c>
    </row>
    <row r="98" spans="2:3" ht="14.25" customHeight="1">
      <c r="B98" s="12">
        <v>2028</v>
      </c>
      <c r="C98" s="12" t="e">
        <f>C60+C75+C91</f>
        <v>#VALUE!</v>
      </c>
    </row>
    <row r="99" spans="2:3" ht="14.25" customHeight="1">
      <c r="C99" s="12" t="e">
        <f>SUM(C95:C98)</f>
        <v>#VALUE!</v>
      </c>
    </row>
    <row r="100" spans="2:3" ht="14.25" customHeight="1"/>
    <row r="101" spans="2:3" ht="14.25" customHeight="1"/>
    <row r="102" spans="2:3" ht="14.25" customHeight="1"/>
    <row r="103" spans="2:3" ht="14.25" customHeight="1"/>
    <row r="104" spans="2:3" ht="14.25" customHeight="1"/>
    <row r="105" spans="2:3" ht="14.25" customHeight="1"/>
    <row r="106" spans="2:3" ht="14.25" customHeight="1"/>
    <row r="107" spans="2:3" ht="14.25" customHeight="1"/>
    <row r="108" spans="2:3" ht="14.25" customHeight="1"/>
    <row r="109" spans="2:3" ht="14.25" customHeight="1"/>
    <row r="110" spans="2:3" ht="14.25" customHeight="1"/>
    <row r="111" spans="2:3" ht="14.25" customHeight="1"/>
    <row r="112" spans="2:3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AE2D5"/>
  </sheetPr>
  <dimension ref="B1:H1000"/>
  <sheetViews>
    <sheetView workbookViewId="0"/>
  </sheetViews>
  <sheetFormatPr baseColWidth="10" defaultColWidth="12.6640625" defaultRowHeight="15" customHeight="1"/>
  <cols>
    <col min="1" max="1" width="4.83203125" customWidth="1"/>
    <col min="2" max="2" width="46.6640625" customWidth="1"/>
    <col min="3" max="3" width="11.5" customWidth="1"/>
    <col min="4" max="26" width="8.6640625" customWidth="1"/>
  </cols>
  <sheetData>
    <row r="1" spans="2:8" ht="14.25" customHeight="1">
      <c r="C1" s="55"/>
    </row>
    <row r="2" spans="2:8" ht="14.25" customHeight="1">
      <c r="B2" s="47" t="s">
        <v>78</v>
      </c>
      <c r="C2" s="56">
        <f>C7</f>
        <v>14</v>
      </c>
      <c r="D2" s="47"/>
      <c r="E2" s="47"/>
      <c r="F2" s="47"/>
      <c r="G2" s="47"/>
      <c r="H2" s="47"/>
    </row>
    <row r="3" spans="2:8" ht="14.25" customHeight="1">
      <c r="B3" s="27"/>
      <c r="C3" s="57"/>
      <c r="D3" s="27"/>
      <c r="E3" s="27"/>
      <c r="F3" s="27"/>
      <c r="G3" s="27"/>
      <c r="H3" s="27"/>
    </row>
    <row r="4" spans="2:8" ht="14.25" customHeight="1">
      <c r="B4" s="29" t="s">
        <v>46</v>
      </c>
      <c r="C4" s="58" t="s">
        <v>51</v>
      </c>
      <c r="D4" s="27" t="s">
        <v>52</v>
      </c>
      <c r="E4" s="27" t="s">
        <v>53</v>
      </c>
      <c r="F4" s="27" t="s">
        <v>54</v>
      </c>
      <c r="G4" s="27" t="s">
        <v>55</v>
      </c>
      <c r="H4" s="27" t="s">
        <v>56</v>
      </c>
    </row>
    <row r="5" spans="2:8" ht="14.25" customHeight="1">
      <c r="B5" s="27" t="s">
        <v>57</v>
      </c>
      <c r="C5" s="59">
        <v>6</v>
      </c>
      <c r="D5" s="57">
        <v>6</v>
      </c>
      <c r="E5" s="57">
        <v>6</v>
      </c>
      <c r="F5" s="57">
        <v>6</v>
      </c>
      <c r="G5" s="57">
        <v>6</v>
      </c>
      <c r="H5" s="27"/>
    </row>
    <row r="6" spans="2:8" ht="14.25" customHeight="1">
      <c r="B6" s="27" t="s">
        <v>58</v>
      </c>
      <c r="C6" s="60">
        <v>8</v>
      </c>
      <c r="D6" s="27">
        <v>0</v>
      </c>
      <c r="E6" s="27">
        <v>8</v>
      </c>
      <c r="F6" s="27">
        <v>8</v>
      </c>
      <c r="G6" s="27">
        <v>8</v>
      </c>
      <c r="H6" s="27">
        <v>8</v>
      </c>
    </row>
    <row r="7" spans="2:8" ht="14.25" customHeight="1">
      <c r="B7" s="27" t="s">
        <v>59</v>
      </c>
      <c r="C7" s="61">
        <f t="shared" ref="C7:H7" si="0">SUM(C5:C6)</f>
        <v>14</v>
      </c>
      <c r="D7" s="62">
        <f t="shared" si="0"/>
        <v>6</v>
      </c>
      <c r="E7" s="62">
        <f t="shared" si="0"/>
        <v>14</v>
      </c>
      <c r="F7" s="62">
        <f t="shared" si="0"/>
        <v>14</v>
      </c>
      <c r="G7" s="62">
        <f t="shared" si="0"/>
        <v>14</v>
      </c>
      <c r="H7" s="53">
        <f t="shared" si="0"/>
        <v>8</v>
      </c>
    </row>
    <row r="8" spans="2:8" ht="14.25" customHeight="1">
      <c r="C8" s="55"/>
    </row>
    <row r="9" spans="2:8" ht="14.25" customHeight="1">
      <c r="B9" s="47" t="s">
        <v>79</v>
      </c>
      <c r="C9" s="56">
        <f>C15+C20</f>
        <v>12</v>
      </c>
      <c r="D9" s="47"/>
      <c r="E9" s="47"/>
      <c r="F9" s="47"/>
      <c r="G9" s="47"/>
      <c r="H9" s="47"/>
    </row>
    <row r="10" spans="2:8" ht="14.25" customHeight="1">
      <c r="B10" s="27"/>
      <c r="C10" s="57"/>
      <c r="D10" s="27"/>
      <c r="E10" s="27"/>
      <c r="F10" s="27"/>
      <c r="G10" s="27"/>
      <c r="H10" s="27"/>
    </row>
    <row r="11" spans="2:8" ht="14.25" customHeight="1">
      <c r="B11" s="29" t="s">
        <v>47</v>
      </c>
      <c r="C11" s="58" t="s">
        <v>51</v>
      </c>
      <c r="D11" s="27" t="s">
        <v>52</v>
      </c>
      <c r="E11" s="27" t="s">
        <v>53</v>
      </c>
      <c r="F11" s="27" t="s">
        <v>54</v>
      </c>
      <c r="G11" s="27" t="s">
        <v>55</v>
      </c>
      <c r="H11" s="27" t="s">
        <v>56</v>
      </c>
    </row>
    <row r="12" spans="2:8" ht="14.25" customHeight="1">
      <c r="B12" s="29"/>
      <c r="C12" s="58"/>
      <c r="D12" s="27"/>
      <c r="E12" s="27"/>
      <c r="F12" s="27"/>
      <c r="G12" s="27"/>
      <c r="H12" s="27"/>
    </row>
    <row r="13" spans="2:8" ht="14.25" customHeight="1">
      <c r="B13" s="27" t="s">
        <v>57</v>
      </c>
      <c r="C13" s="59">
        <v>4</v>
      </c>
      <c r="D13" s="57">
        <f>C13</f>
        <v>4</v>
      </c>
      <c r="E13" s="57">
        <f t="shared" ref="E13:E14" si="1">C13</f>
        <v>4</v>
      </c>
      <c r="F13" s="57">
        <f t="shared" ref="F13:G13" si="2">E13</f>
        <v>4</v>
      </c>
      <c r="G13" s="57">
        <f t="shared" si="2"/>
        <v>4</v>
      </c>
      <c r="H13" s="27"/>
    </row>
    <row r="14" spans="2:8" ht="14.25" customHeight="1">
      <c r="B14" s="27" t="s">
        <v>58</v>
      </c>
      <c r="C14" s="63">
        <v>4</v>
      </c>
      <c r="D14" s="27"/>
      <c r="E14" s="57">
        <f t="shared" si="1"/>
        <v>4</v>
      </c>
      <c r="F14" s="57">
        <f t="shared" ref="F14:H14" si="3">E14</f>
        <v>4</v>
      </c>
      <c r="G14" s="57">
        <f t="shared" si="3"/>
        <v>4</v>
      </c>
      <c r="H14" s="57">
        <f t="shared" si="3"/>
        <v>4</v>
      </c>
    </row>
    <row r="15" spans="2:8" ht="14.25" customHeight="1">
      <c r="B15" s="27" t="s">
        <v>59</v>
      </c>
      <c r="C15" s="58">
        <f t="shared" ref="C15:H15" si="4">SUM(C13:C14)</f>
        <v>8</v>
      </c>
      <c r="D15" s="61">
        <f t="shared" si="4"/>
        <v>4</v>
      </c>
      <c r="E15" s="61">
        <f t="shared" si="4"/>
        <v>8</v>
      </c>
      <c r="F15" s="61">
        <f t="shared" si="4"/>
        <v>8</v>
      </c>
      <c r="G15" s="61">
        <f t="shared" si="4"/>
        <v>8</v>
      </c>
      <c r="H15" s="48">
        <f t="shared" si="4"/>
        <v>4</v>
      </c>
    </row>
    <row r="16" spans="2:8" ht="14.25" customHeight="1">
      <c r="B16" s="27"/>
      <c r="C16" s="57"/>
      <c r="D16" s="27"/>
      <c r="E16" s="27"/>
      <c r="F16" s="27"/>
      <c r="G16" s="27"/>
      <c r="H16" s="27"/>
    </row>
    <row r="17" spans="2:8" ht="14.25" customHeight="1">
      <c r="B17" s="29" t="s">
        <v>48</v>
      </c>
      <c r="C17" s="58" t="s">
        <v>51</v>
      </c>
      <c r="D17" s="27" t="s">
        <v>52</v>
      </c>
      <c r="E17" s="27" t="s">
        <v>53</v>
      </c>
      <c r="F17" s="27" t="s">
        <v>54</v>
      </c>
      <c r="G17" s="27" t="s">
        <v>55</v>
      </c>
      <c r="H17" s="27" t="s">
        <v>56</v>
      </c>
    </row>
    <row r="18" spans="2:8" ht="14.25" customHeight="1">
      <c r="B18" s="27" t="s">
        <v>57</v>
      </c>
      <c r="C18" s="59">
        <v>2</v>
      </c>
      <c r="D18" s="57">
        <f>C18</f>
        <v>2</v>
      </c>
      <c r="E18" s="27"/>
      <c r="F18" s="27"/>
      <c r="G18" s="27"/>
      <c r="H18" s="27"/>
    </row>
    <row r="19" spans="2:8" ht="14.25" customHeight="1">
      <c r="B19" s="27" t="s">
        <v>58</v>
      </c>
      <c r="C19" s="63">
        <v>2</v>
      </c>
      <c r="D19" s="27"/>
      <c r="E19" s="57">
        <f>C19</f>
        <v>2</v>
      </c>
      <c r="F19" s="27"/>
      <c r="G19" s="27"/>
      <c r="H19" s="27"/>
    </row>
    <row r="20" spans="2:8" ht="14.25" customHeight="1">
      <c r="B20" s="27" t="s">
        <v>59</v>
      </c>
      <c r="C20" s="58">
        <f t="shared" ref="C20:D20" si="5">SUM(C18:C19)</f>
        <v>4</v>
      </c>
      <c r="D20" s="61">
        <f t="shared" si="5"/>
        <v>2</v>
      </c>
      <c r="E20" s="61">
        <f>SUM(E19)</f>
        <v>2</v>
      </c>
      <c r="F20" s="48">
        <f t="shared" ref="F20:H20" si="6">SUM(F18:F19)</f>
        <v>0</v>
      </c>
      <c r="G20" s="48">
        <f t="shared" si="6"/>
        <v>0</v>
      </c>
      <c r="H20" s="48">
        <f t="shared" si="6"/>
        <v>0</v>
      </c>
    </row>
    <row r="21" spans="2:8" ht="14.25" customHeight="1">
      <c r="C21" s="55"/>
    </row>
    <row r="22" spans="2:8" ht="14.25" customHeight="1">
      <c r="B22" s="47" t="s">
        <v>80</v>
      </c>
      <c r="C22" s="56">
        <f>C27</f>
        <v>4</v>
      </c>
      <c r="D22" s="47"/>
      <c r="E22" s="47"/>
      <c r="F22" s="47"/>
      <c r="G22" s="47"/>
      <c r="H22" s="47"/>
    </row>
    <row r="23" spans="2:8" ht="14.25" customHeight="1">
      <c r="B23" s="27"/>
      <c r="C23" s="57"/>
      <c r="D23" s="27"/>
      <c r="E23" s="27"/>
      <c r="F23" s="27"/>
      <c r="G23" s="27"/>
      <c r="H23" s="27"/>
    </row>
    <row r="24" spans="2:8" ht="14.25" customHeight="1">
      <c r="B24" s="29" t="s">
        <v>49</v>
      </c>
      <c r="C24" s="58" t="s">
        <v>51</v>
      </c>
      <c r="D24" s="49" t="s">
        <v>52</v>
      </c>
      <c r="E24" s="49" t="s">
        <v>53</v>
      </c>
      <c r="F24" s="49" t="s">
        <v>54</v>
      </c>
      <c r="G24" s="49" t="s">
        <v>55</v>
      </c>
      <c r="H24" s="49" t="s">
        <v>56</v>
      </c>
    </row>
    <row r="25" spans="2:8" ht="14.25" customHeight="1">
      <c r="B25" s="27" t="s">
        <v>57</v>
      </c>
      <c r="C25" s="59"/>
      <c r="D25" s="57">
        <f>C25</f>
        <v>0</v>
      </c>
      <c r="E25" s="57">
        <f t="shared" ref="E25:E26" si="7">C25</f>
        <v>0</v>
      </c>
      <c r="F25" s="57">
        <f t="shared" ref="F25:G25" si="8">E25</f>
        <v>0</v>
      </c>
      <c r="G25" s="57">
        <f t="shared" si="8"/>
        <v>0</v>
      </c>
      <c r="H25" s="27"/>
    </row>
    <row r="26" spans="2:8" ht="14.25" customHeight="1">
      <c r="B26" s="27" t="s">
        <v>58</v>
      </c>
      <c r="C26" s="60">
        <v>4</v>
      </c>
      <c r="D26" s="27"/>
      <c r="E26" s="57">
        <f t="shared" si="7"/>
        <v>4</v>
      </c>
      <c r="F26" s="57">
        <f t="shared" ref="F26:H26" si="9">E26</f>
        <v>4</v>
      </c>
      <c r="G26" s="57">
        <f t="shared" si="9"/>
        <v>4</v>
      </c>
      <c r="H26" s="57">
        <f t="shared" si="9"/>
        <v>4</v>
      </c>
    </row>
    <row r="27" spans="2:8" ht="14.25" customHeight="1">
      <c r="B27" s="27" t="s">
        <v>59</v>
      </c>
      <c r="C27" s="61">
        <f t="shared" ref="C27:H27" si="10">SUM(C25:C26)</f>
        <v>4</v>
      </c>
      <c r="D27" s="62">
        <f t="shared" si="10"/>
        <v>0</v>
      </c>
      <c r="E27" s="62">
        <f t="shared" si="10"/>
        <v>4</v>
      </c>
      <c r="F27" s="62">
        <f t="shared" si="10"/>
        <v>4</v>
      </c>
      <c r="G27" s="62">
        <f t="shared" si="10"/>
        <v>4</v>
      </c>
      <c r="H27" s="53">
        <f t="shared" si="10"/>
        <v>4</v>
      </c>
    </row>
    <row r="28" spans="2:8" ht="14.25" customHeight="1">
      <c r="C28" s="55"/>
    </row>
    <row r="29" spans="2:8" ht="14.25" customHeight="1">
      <c r="B29" s="29" t="s">
        <v>77</v>
      </c>
      <c r="C29" s="55"/>
    </row>
    <row r="30" spans="2:8" ht="14.25" customHeight="1">
      <c r="B30" s="12">
        <v>2025</v>
      </c>
      <c r="C30" s="55">
        <f t="shared" ref="C30:C31" si="11">C5+C13+C18+C25</f>
        <v>12</v>
      </c>
    </row>
    <row r="31" spans="2:8" ht="14.25" customHeight="1">
      <c r="B31" s="12">
        <v>2026</v>
      </c>
      <c r="C31" s="55">
        <f t="shared" si="11"/>
        <v>18</v>
      </c>
    </row>
    <row r="32" spans="2:8" ht="14.25" customHeight="1">
      <c r="C32" s="64">
        <f>SUM(C30:C31)</f>
        <v>30</v>
      </c>
    </row>
    <row r="33" spans="3:3" ht="14.25" customHeight="1">
      <c r="C33" s="55"/>
    </row>
    <row r="34" spans="3:3" ht="14.25" customHeight="1">
      <c r="C34" s="55"/>
    </row>
    <row r="35" spans="3:3" ht="14.25" customHeight="1">
      <c r="C35" s="55"/>
    </row>
    <row r="36" spans="3:3" ht="14.25" customHeight="1">
      <c r="C36" s="55"/>
    </row>
    <row r="37" spans="3:3" ht="14.25" customHeight="1">
      <c r="C37" s="55"/>
    </row>
    <row r="38" spans="3:3" ht="14.25" customHeight="1">
      <c r="C38" s="55"/>
    </row>
    <row r="39" spans="3:3" ht="14.25" customHeight="1">
      <c r="C39" s="55"/>
    </row>
    <row r="40" spans="3:3" ht="14.25" customHeight="1">
      <c r="C40" s="55"/>
    </row>
    <row r="41" spans="3:3" ht="14.25" customHeight="1">
      <c r="C41" s="55"/>
    </row>
    <row r="42" spans="3:3" ht="14.25" customHeight="1">
      <c r="C42" s="55"/>
    </row>
    <row r="43" spans="3:3" ht="14.25" customHeight="1">
      <c r="C43" s="55"/>
    </row>
    <row r="44" spans="3:3" ht="14.25" customHeight="1">
      <c r="C44" s="55"/>
    </row>
    <row r="45" spans="3:3" ht="14.25" customHeight="1">
      <c r="C45" s="55"/>
    </row>
    <row r="46" spans="3:3" ht="14.25" customHeight="1">
      <c r="C46" s="55"/>
    </row>
    <row r="47" spans="3:3" ht="14.25" customHeight="1">
      <c r="C47" s="55"/>
    </row>
    <row r="48" spans="3:3" ht="14.25" customHeight="1">
      <c r="C48" s="55"/>
    </row>
    <row r="49" spans="3:3" ht="14.25" customHeight="1">
      <c r="C49" s="55"/>
    </row>
    <row r="50" spans="3:3" ht="14.25" customHeight="1">
      <c r="C50" s="55"/>
    </row>
    <row r="51" spans="3:3" ht="14.25" customHeight="1">
      <c r="C51" s="55"/>
    </row>
    <row r="52" spans="3:3" ht="14.25" customHeight="1">
      <c r="C52" s="55"/>
    </row>
    <row r="53" spans="3:3" ht="14.25" customHeight="1">
      <c r="C53" s="55"/>
    </row>
    <row r="54" spans="3:3" ht="14.25" customHeight="1">
      <c r="C54" s="55"/>
    </row>
    <row r="55" spans="3:3" ht="14.25" customHeight="1">
      <c r="C55" s="55"/>
    </row>
    <row r="56" spans="3:3" ht="14.25" customHeight="1">
      <c r="C56" s="55"/>
    </row>
    <row r="57" spans="3:3" ht="14.25" customHeight="1">
      <c r="C57" s="55"/>
    </row>
    <row r="58" spans="3:3" ht="14.25" customHeight="1">
      <c r="C58" s="55"/>
    </row>
    <row r="59" spans="3:3" ht="14.25" customHeight="1">
      <c r="C59" s="55"/>
    </row>
    <row r="60" spans="3:3" ht="14.25" customHeight="1">
      <c r="C60" s="55"/>
    </row>
    <row r="61" spans="3:3" ht="14.25" customHeight="1">
      <c r="C61" s="55"/>
    </row>
    <row r="62" spans="3:3" ht="14.25" customHeight="1">
      <c r="C62" s="55"/>
    </row>
    <row r="63" spans="3:3" ht="14.25" customHeight="1">
      <c r="C63" s="55"/>
    </row>
    <row r="64" spans="3:3" ht="14.25" customHeight="1">
      <c r="C64" s="55"/>
    </row>
    <row r="65" spans="3:3" ht="14.25" customHeight="1">
      <c r="C65" s="55"/>
    </row>
    <row r="66" spans="3:3" ht="14.25" customHeight="1">
      <c r="C66" s="55"/>
    </row>
    <row r="67" spans="3:3" ht="14.25" customHeight="1">
      <c r="C67" s="55"/>
    </row>
    <row r="68" spans="3:3" ht="14.25" customHeight="1">
      <c r="C68" s="55"/>
    </row>
    <row r="69" spans="3:3" ht="14.25" customHeight="1">
      <c r="C69" s="55"/>
    </row>
    <row r="70" spans="3:3" ht="14.25" customHeight="1">
      <c r="C70" s="55"/>
    </row>
    <row r="71" spans="3:3" ht="14.25" customHeight="1">
      <c r="C71" s="55"/>
    </row>
    <row r="72" spans="3:3" ht="14.25" customHeight="1">
      <c r="C72" s="55"/>
    </row>
    <row r="73" spans="3:3" ht="14.25" customHeight="1">
      <c r="C73" s="55"/>
    </row>
    <row r="74" spans="3:3" ht="14.25" customHeight="1">
      <c r="C74" s="55"/>
    </row>
    <row r="75" spans="3:3" ht="14.25" customHeight="1">
      <c r="C75" s="55"/>
    </row>
    <row r="76" spans="3:3" ht="14.25" customHeight="1">
      <c r="C76" s="55"/>
    </row>
    <row r="77" spans="3:3" ht="14.25" customHeight="1">
      <c r="C77" s="55"/>
    </row>
    <row r="78" spans="3:3" ht="14.25" customHeight="1">
      <c r="C78" s="55"/>
    </row>
    <row r="79" spans="3:3" ht="14.25" customHeight="1">
      <c r="C79" s="55"/>
    </row>
    <row r="80" spans="3:3" ht="14.25" customHeight="1">
      <c r="C80" s="55"/>
    </row>
    <row r="81" spans="3:3" ht="14.25" customHeight="1">
      <c r="C81" s="55"/>
    </row>
    <row r="82" spans="3:3" ht="14.25" customHeight="1">
      <c r="C82" s="55"/>
    </row>
    <row r="83" spans="3:3" ht="14.25" customHeight="1">
      <c r="C83" s="55"/>
    </row>
    <row r="84" spans="3:3" ht="14.25" customHeight="1">
      <c r="C84" s="55"/>
    </row>
    <row r="85" spans="3:3" ht="14.25" customHeight="1">
      <c r="C85" s="55"/>
    </row>
    <row r="86" spans="3:3" ht="14.25" customHeight="1">
      <c r="C86" s="55"/>
    </row>
    <row r="87" spans="3:3" ht="14.25" customHeight="1">
      <c r="C87" s="55"/>
    </row>
    <row r="88" spans="3:3" ht="14.25" customHeight="1">
      <c r="C88" s="55"/>
    </row>
    <row r="89" spans="3:3" ht="14.25" customHeight="1">
      <c r="C89" s="55"/>
    </row>
    <row r="90" spans="3:3" ht="14.25" customHeight="1">
      <c r="C90" s="55"/>
    </row>
    <row r="91" spans="3:3" ht="14.25" customHeight="1">
      <c r="C91" s="55"/>
    </row>
    <row r="92" spans="3:3" ht="14.25" customHeight="1">
      <c r="C92" s="55"/>
    </row>
    <row r="93" spans="3:3" ht="14.25" customHeight="1">
      <c r="C93" s="55"/>
    </row>
    <row r="94" spans="3:3" ht="14.25" customHeight="1">
      <c r="C94" s="55"/>
    </row>
    <row r="95" spans="3:3" ht="14.25" customHeight="1">
      <c r="C95" s="55"/>
    </row>
    <row r="96" spans="3:3" ht="14.25" customHeight="1">
      <c r="C96" s="55"/>
    </row>
    <row r="97" spans="3:3" ht="14.25" customHeight="1">
      <c r="C97" s="55"/>
    </row>
    <row r="98" spans="3:3" ht="14.25" customHeight="1">
      <c r="C98" s="55"/>
    </row>
    <row r="99" spans="3:3" ht="14.25" customHeight="1">
      <c r="C99" s="55"/>
    </row>
    <row r="100" spans="3:3" ht="14.25" customHeight="1">
      <c r="C100" s="55"/>
    </row>
    <row r="101" spans="3:3" ht="14.25" customHeight="1">
      <c r="C101" s="55"/>
    </row>
    <row r="102" spans="3:3" ht="14.25" customHeight="1">
      <c r="C102" s="55"/>
    </row>
    <row r="103" spans="3:3" ht="14.25" customHeight="1">
      <c r="C103" s="55"/>
    </row>
    <row r="104" spans="3:3" ht="14.25" customHeight="1">
      <c r="C104" s="55"/>
    </row>
    <row r="105" spans="3:3" ht="14.25" customHeight="1">
      <c r="C105" s="55"/>
    </row>
    <row r="106" spans="3:3" ht="14.25" customHeight="1">
      <c r="C106" s="55"/>
    </row>
    <row r="107" spans="3:3" ht="14.25" customHeight="1">
      <c r="C107" s="55"/>
    </row>
    <row r="108" spans="3:3" ht="14.25" customHeight="1">
      <c r="C108" s="55"/>
    </row>
    <row r="109" spans="3:3" ht="14.25" customHeight="1">
      <c r="C109" s="55"/>
    </row>
    <row r="110" spans="3:3" ht="14.25" customHeight="1">
      <c r="C110" s="55"/>
    </row>
    <row r="111" spans="3:3" ht="14.25" customHeight="1">
      <c r="C111" s="55"/>
    </row>
    <row r="112" spans="3:3" ht="14.25" customHeight="1">
      <c r="C112" s="55"/>
    </row>
    <row r="113" spans="3:3" ht="14.25" customHeight="1">
      <c r="C113" s="55"/>
    </row>
    <row r="114" spans="3:3" ht="14.25" customHeight="1">
      <c r="C114" s="55"/>
    </row>
    <row r="115" spans="3:3" ht="14.25" customHeight="1">
      <c r="C115" s="55"/>
    </row>
    <row r="116" spans="3:3" ht="14.25" customHeight="1">
      <c r="C116" s="55"/>
    </row>
    <row r="117" spans="3:3" ht="14.25" customHeight="1">
      <c r="C117" s="55"/>
    </row>
    <row r="118" spans="3:3" ht="14.25" customHeight="1">
      <c r="C118" s="55"/>
    </row>
    <row r="119" spans="3:3" ht="14.25" customHeight="1">
      <c r="C119" s="55"/>
    </row>
    <row r="120" spans="3:3" ht="14.25" customHeight="1">
      <c r="C120" s="55"/>
    </row>
    <row r="121" spans="3:3" ht="14.25" customHeight="1">
      <c r="C121" s="55"/>
    </row>
    <row r="122" spans="3:3" ht="14.25" customHeight="1">
      <c r="C122" s="55"/>
    </row>
    <row r="123" spans="3:3" ht="14.25" customHeight="1">
      <c r="C123" s="55"/>
    </row>
    <row r="124" spans="3:3" ht="14.25" customHeight="1">
      <c r="C124" s="55"/>
    </row>
    <row r="125" spans="3:3" ht="14.25" customHeight="1">
      <c r="C125" s="55"/>
    </row>
    <row r="126" spans="3:3" ht="14.25" customHeight="1">
      <c r="C126" s="55"/>
    </row>
    <row r="127" spans="3:3" ht="14.25" customHeight="1">
      <c r="C127" s="55"/>
    </row>
    <row r="128" spans="3:3" ht="14.25" customHeight="1">
      <c r="C128" s="55"/>
    </row>
    <row r="129" spans="3:3" ht="14.25" customHeight="1">
      <c r="C129" s="55"/>
    </row>
    <row r="130" spans="3:3" ht="14.25" customHeight="1">
      <c r="C130" s="55"/>
    </row>
    <row r="131" spans="3:3" ht="14.25" customHeight="1">
      <c r="C131" s="55"/>
    </row>
    <row r="132" spans="3:3" ht="14.25" customHeight="1">
      <c r="C132" s="55"/>
    </row>
    <row r="133" spans="3:3" ht="14.25" customHeight="1">
      <c r="C133" s="55"/>
    </row>
    <row r="134" spans="3:3" ht="14.25" customHeight="1">
      <c r="C134" s="55"/>
    </row>
    <row r="135" spans="3:3" ht="14.25" customHeight="1">
      <c r="C135" s="55"/>
    </row>
    <row r="136" spans="3:3" ht="14.25" customHeight="1">
      <c r="C136" s="55"/>
    </row>
    <row r="137" spans="3:3" ht="14.25" customHeight="1">
      <c r="C137" s="55"/>
    </row>
    <row r="138" spans="3:3" ht="14.25" customHeight="1">
      <c r="C138" s="55"/>
    </row>
    <row r="139" spans="3:3" ht="14.25" customHeight="1">
      <c r="C139" s="55"/>
    </row>
    <row r="140" spans="3:3" ht="14.25" customHeight="1">
      <c r="C140" s="55"/>
    </row>
    <row r="141" spans="3:3" ht="14.25" customHeight="1">
      <c r="C141" s="55"/>
    </row>
    <row r="142" spans="3:3" ht="14.25" customHeight="1">
      <c r="C142" s="55"/>
    </row>
    <row r="143" spans="3:3" ht="14.25" customHeight="1">
      <c r="C143" s="55"/>
    </row>
    <row r="144" spans="3:3" ht="14.25" customHeight="1">
      <c r="C144" s="55"/>
    </row>
    <row r="145" spans="3:3" ht="14.25" customHeight="1">
      <c r="C145" s="55"/>
    </row>
    <row r="146" spans="3:3" ht="14.25" customHeight="1">
      <c r="C146" s="55"/>
    </row>
    <row r="147" spans="3:3" ht="14.25" customHeight="1">
      <c r="C147" s="55"/>
    </row>
    <row r="148" spans="3:3" ht="14.25" customHeight="1">
      <c r="C148" s="55"/>
    </row>
    <row r="149" spans="3:3" ht="14.25" customHeight="1">
      <c r="C149" s="55"/>
    </row>
    <row r="150" spans="3:3" ht="14.25" customHeight="1">
      <c r="C150" s="55"/>
    </row>
    <row r="151" spans="3:3" ht="14.25" customHeight="1">
      <c r="C151" s="55"/>
    </row>
    <row r="152" spans="3:3" ht="14.25" customHeight="1">
      <c r="C152" s="55"/>
    </row>
    <row r="153" spans="3:3" ht="14.25" customHeight="1">
      <c r="C153" s="55"/>
    </row>
    <row r="154" spans="3:3" ht="14.25" customHeight="1">
      <c r="C154" s="55"/>
    </row>
    <row r="155" spans="3:3" ht="14.25" customHeight="1">
      <c r="C155" s="55"/>
    </row>
    <row r="156" spans="3:3" ht="14.25" customHeight="1">
      <c r="C156" s="55"/>
    </row>
    <row r="157" spans="3:3" ht="14.25" customHeight="1">
      <c r="C157" s="55"/>
    </row>
    <row r="158" spans="3:3" ht="14.25" customHeight="1">
      <c r="C158" s="55"/>
    </row>
    <row r="159" spans="3:3" ht="14.25" customHeight="1">
      <c r="C159" s="55"/>
    </row>
    <row r="160" spans="3:3" ht="14.25" customHeight="1">
      <c r="C160" s="55"/>
    </row>
    <row r="161" spans="3:3" ht="14.25" customHeight="1">
      <c r="C161" s="55"/>
    </row>
    <row r="162" spans="3:3" ht="14.25" customHeight="1">
      <c r="C162" s="55"/>
    </row>
    <row r="163" spans="3:3" ht="14.25" customHeight="1">
      <c r="C163" s="55"/>
    </row>
    <row r="164" spans="3:3" ht="14.25" customHeight="1">
      <c r="C164" s="55"/>
    </row>
    <row r="165" spans="3:3" ht="14.25" customHeight="1">
      <c r="C165" s="55"/>
    </row>
    <row r="166" spans="3:3" ht="14.25" customHeight="1">
      <c r="C166" s="55"/>
    </row>
    <row r="167" spans="3:3" ht="14.25" customHeight="1">
      <c r="C167" s="55"/>
    </row>
    <row r="168" spans="3:3" ht="14.25" customHeight="1">
      <c r="C168" s="55"/>
    </row>
    <row r="169" spans="3:3" ht="14.25" customHeight="1">
      <c r="C169" s="55"/>
    </row>
    <row r="170" spans="3:3" ht="14.25" customHeight="1">
      <c r="C170" s="55"/>
    </row>
    <row r="171" spans="3:3" ht="14.25" customHeight="1">
      <c r="C171" s="55"/>
    </row>
    <row r="172" spans="3:3" ht="14.25" customHeight="1">
      <c r="C172" s="55"/>
    </row>
    <row r="173" spans="3:3" ht="14.25" customHeight="1">
      <c r="C173" s="55"/>
    </row>
    <row r="174" spans="3:3" ht="14.25" customHeight="1">
      <c r="C174" s="55"/>
    </row>
    <row r="175" spans="3:3" ht="14.25" customHeight="1">
      <c r="C175" s="55"/>
    </row>
    <row r="176" spans="3:3" ht="14.25" customHeight="1">
      <c r="C176" s="55"/>
    </row>
    <row r="177" spans="3:3" ht="14.25" customHeight="1">
      <c r="C177" s="55"/>
    </row>
    <row r="178" spans="3:3" ht="14.25" customHeight="1">
      <c r="C178" s="55"/>
    </row>
    <row r="179" spans="3:3" ht="14.25" customHeight="1">
      <c r="C179" s="55"/>
    </row>
    <row r="180" spans="3:3" ht="14.25" customHeight="1">
      <c r="C180" s="55"/>
    </row>
    <row r="181" spans="3:3" ht="14.25" customHeight="1">
      <c r="C181" s="55"/>
    </row>
    <row r="182" spans="3:3" ht="14.25" customHeight="1">
      <c r="C182" s="55"/>
    </row>
    <row r="183" spans="3:3" ht="14.25" customHeight="1">
      <c r="C183" s="55"/>
    </row>
    <row r="184" spans="3:3" ht="14.25" customHeight="1">
      <c r="C184" s="55"/>
    </row>
    <row r="185" spans="3:3" ht="14.25" customHeight="1">
      <c r="C185" s="55"/>
    </row>
    <row r="186" spans="3:3" ht="14.25" customHeight="1">
      <c r="C186" s="55"/>
    </row>
    <row r="187" spans="3:3" ht="14.25" customHeight="1">
      <c r="C187" s="55"/>
    </row>
    <row r="188" spans="3:3" ht="14.25" customHeight="1">
      <c r="C188" s="55"/>
    </row>
    <row r="189" spans="3:3" ht="14.25" customHeight="1">
      <c r="C189" s="55"/>
    </row>
    <row r="190" spans="3:3" ht="14.25" customHeight="1">
      <c r="C190" s="55"/>
    </row>
    <row r="191" spans="3:3" ht="14.25" customHeight="1">
      <c r="C191" s="55"/>
    </row>
    <row r="192" spans="3:3" ht="14.25" customHeight="1">
      <c r="C192" s="55"/>
    </row>
    <row r="193" spans="3:3" ht="14.25" customHeight="1">
      <c r="C193" s="55"/>
    </row>
    <row r="194" spans="3:3" ht="14.25" customHeight="1">
      <c r="C194" s="55"/>
    </row>
    <row r="195" spans="3:3" ht="14.25" customHeight="1">
      <c r="C195" s="55"/>
    </row>
    <row r="196" spans="3:3" ht="14.25" customHeight="1">
      <c r="C196" s="55"/>
    </row>
    <row r="197" spans="3:3" ht="14.25" customHeight="1">
      <c r="C197" s="55"/>
    </row>
    <row r="198" spans="3:3" ht="14.25" customHeight="1">
      <c r="C198" s="55"/>
    </row>
    <row r="199" spans="3:3" ht="14.25" customHeight="1">
      <c r="C199" s="55"/>
    </row>
    <row r="200" spans="3:3" ht="14.25" customHeight="1">
      <c r="C200" s="55"/>
    </row>
    <row r="201" spans="3:3" ht="14.25" customHeight="1">
      <c r="C201" s="55"/>
    </row>
    <row r="202" spans="3:3" ht="14.25" customHeight="1">
      <c r="C202" s="55"/>
    </row>
    <row r="203" spans="3:3" ht="14.25" customHeight="1">
      <c r="C203" s="55"/>
    </row>
    <row r="204" spans="3:3" ht="14.25" customHeight="1">
      <c r="C204" s="55"/>
    </row>
    <row r="205" spans="3:3" ht="14.25" customHeight="1">
      <c r="C205" s="55"/>
    </row>
    <row r="206" spans="3:3" ht="14.25" customHeight="1">
      <c r="C206" s="55"/>
    </row>
    <row r="207" spans="3:3" ht="14.25" customHeight="1">
      <c r="C207" s="55"/>
    </row>
    <row r="208" spans="3:3" ht="14.25" customHeight="1">
      <c r="C208" s="55"/>
    </row>
    <row r="209" spans="3:3" ht="14.25" customHeight="1">
      <c r="C209" s="55"/>
    </row>
    <row r="210" spans="3:3" ht="14.25" customHeight="1">
      <c r="C210" s="55"/>
    </row>
    <row r="211" spans="3:3" ht="14.25" customHeight="1">
      <c r="C211" s="55"/>
    </row>
    <row r="212" spans="3:3" ht="14.25" customHeight="1">
      <c r="C212" s="55"/>
    </row>
    <row r="213" spans="3:3" ht="14.25" customHeight="1">
      <c r="C213" s="55"/>
    </row>
    <row r="214" spans="3:3" ht="14.25" customHeight="1">
      <c r="C214" s="55"/>
    </row>
    <row r="215" spans="3:3" ht="14.25" customHeight="1">
      <c r="C215" s="55"/>
    </row>
    <row r="216" spans="3:3" ht="14.25" customHeight="1">
      <c r="C216" s="55"/>
    </row>
    <row r="217" spans="3:3" ht="14.25" customHeight="1">
      <c r="C217" s="55"/>
    </row>
    <row r="218" spans="3:3" ht="14.25" customHeight="1">
      <c r="C218" s="55"/>
    </row>
    <row r="219" spans="3:3" ht="14.25" customHeight="1">
      <c r="C219" s="55"/>
    </row>
    <row r="220" spans="3:3" ht="14.25" customHeight="1">
      <c r="C220" s="55"/>
    </row>
    <row r="221" spans="3:3" ht="14.25" customHeight="1">
      <c r="C221" s="55"/>
    </row>
    <row r="222" spans="3:3" ht="14.25" customHeight="1">
      <c r="C222" s="55"/>
    </row>
    <row r="223" spans="3:3" ht="14.25" customHeight="1">
      <c r="C223" s="55"/>
    </row>
    <row r="224" spans="3:3" ht="14.25" customHeight="1">
      <c r="C224" s="55"/>
    </row>
    <row r="225" spans="3:3" ht="14.25" customHeight="1">
      <c r="C225" s="55"/>
    </row>
    <row r="226" spans="3:3" ht="14.25" customHeight="1">
      <c r="C226" s="55"/>
    </row>
    <row r="227" spans="3:3" ht="14.25" customHeight="1">
      <c r="C227" s="55"/>
    </row>
    <row r="228" spans="3:3" ht="14.25" customHeight="1">
      <c r="C228" s="55"/>
    </row>
    <row r="229" spans="3:3" ht="14.25" customHeight="1">
      <c r="C229" s="55"/>
    </row>
    <row r="230" spans="3:3" ht="14.25" customHeight="1">
      <c r="C230" s="55"/>
    </row>
    <row r="231" spans="3:3" ht="14.25" customHeight="1">
      <c r="C231" s="55"/>
    </row>
    <row r="232" spans="3:3" ht="14.25" customHeight="1">
      <c r="C232" s="55"/>
    </row>
    <row r="233" spans="3:3" ht="14.25" customHeight="1">
      <c r="C233" s="55"/>
    </row>
    <row r="234" spans="3:3" ht="14.25" customHeight="1">
      <c r="C234" s="55"/>
    </row>
    <row r="235" spans="3:3" ht="14.25" customHeight="1">
      <c r="C235" s="55"/>
    </row>
    <row r="236" spans="3:3" ht="14.25" customHeight="1">
      <c r="C236" s="55"/>
    </row>
    <row r="237" spans="3:3" ht="14.25" customHeight="1">
      <c r="C237" s="55"/>
    </row>
    <row r="238" spans="3:3" ht="14.25" customHeight="1">
      <c r="C238" s="55"/>
    </row>
    <row r="239" spans="3:3" ht="14.25" customHeight="1">
      <c r="C239" s="55"/>
    </row>
    <row r="240" spans="3:3" ht="14.25" customHeight="1">
      <c r="C240" s="55"/>
    </row>
    <row r="241" spans="3:3" ht="14.25" customHeight="1">
      <c r="C241" s="55"/>
    </row>
    <row r="242" spans="3:3" ht="14.25" customHeight="1">
      <c r="C242" s="55"/>
    </row>
    <row r="243" spans="3:3" ht="14.25" customHeight="1">
      <c r="C243" s="55"/>
    </row>
    <row r="244" spans="3:3" ht="14.25" customHeight="1">
      <c r="C244" s="55"/>
    </row>
    <row r="245" spans="3:3" ht="14.25" customHeight="1">
      <c r="C245" s="55"/>
    </row>
    <row r="246" spans="3:3" ht="14.25" customHeight="1">
      <c r="C246" s="55"/>
    </row>
    <row r="247" spans="3:3" ht="14.25" customHeight="1">
      <c r="C247" s="55"/>
    </row>
    <row r="248" spans="3:3" ht="14.25" customHeight="1">
      <c r="C248" s="55"/>
    </row>
    <row r="249" spans="3:3" ht="14.25" customHeight="1">
      <c r="C249" s="55"/>
    </row>
    <row r="250" spans="3:3" ht="14.25" customHeight="1">
      <c r="C250" s="55"/>
    </row>
    <row r="251" spans="3:3" ht="14.25" customHeight="1">
      <c r="C251" s="55"/>
    </row>
    <row r="252" spans="3:3" ht="14.25" customHeight="1">
      <c r="C252" s="55"/>
    </row>
    <row r="253" spans="3:3" ht="14.25" customHeight="1">
      <c r="C253" s="55"/>
    </row>
    <row r="254" spans="3:3" ht="14.25" customHeight="1">
      <c r="C254" s="55"/>
    </row>
    <row r="255" spans="3:3" ht="14.25" customHeight="1">
      <c r="C255" s="55"/>
    </row>
    <row r="256" spans="3:3" ht="14.25" customHeight="1">
      <c r="C256" s="55"/>
    </row>
    <row r="257" spans="3:3" ht="14.25" customHeight="1">
      <c r="C257" s="55"/>
    </row>
    <row r="258" spans="3:3" ht="14.25" customHeight="1">
      <c r="C258" s="55"/>
    </row>
    <row r="259" spans="3:3" ht="14.25" customHeight="1">
      <c r="C259" s="55"/>
    </row>
    <row r="260" spans="3:3" ht="14.25" customHeight="1">
      <c r="C260" s="55"/>
    </row>
    <row r="261" spans="3:3" ht="14.25" customHeight="1">
      <c r="C261" s="55"/>
    </row>
    <row r="262" spans="3:3" ht="14.25" customHeight="1">
      <c r="C262" s="55"/>
    </row>
    <row r="263" spans="3:3" ht="14.25" customHeight="1">
      <c r="C263" s="55"/>
    </row>
    <row r="264" spans="3:3" ht="14.25" customHeight="1">
      <c r="C264" s="55"/>
    </row>
    <row r="265" spans="3:3" ht="14.25" customHeight="1">
      <c r="C265" s="55"/>
    </row>
    <row r="266" spans="3:3" ht="14.25" customHeight="1">
      <c r="C266" s="55"/>
    </row>
    <row r="267" spans="3:3" ht="14.25" customHeight="1">
      <c r="C267" s="55"/>
    </row>
    <row r="268" spans="3:3" ht="14.25" customHeight="1">
      <c r="C268" s="55"/>
    </row>
    <row r="269" spans="3:3" ht="14.25" customHeight="1">
      <c r="C269" s="55"/>
    </row>
    <row r="270" spans="3:3" ht="14.25" customHeight="1">
      <c r="C270" s="55"/>
    </row>
    <row r="271" spans="3:3" ht="14.25" customHeight="1">
      <c r="C271" s="55"/>
    </row>
    <row r="272" spans="3:3" ht="14.25" customHeight="1">
      <c r="C272" s="55"/>
    </row>
    <row r="273" spans="3:3" ht="14.25" customHeight="1">
      <c r="C273" s="55"/>
    </row>
    <row r="274" spans="3:3" ht="14.25" customHeight="1">
      <c r="C274" s="55"/>
    </row>
    <row r="275" spans="3:3" ht="14.25" customHeight="1">
      <c r="C275" s="55"/>
    </row>
    <row r="276" spans="3:3" ht="14.25" customHeight="1">
      <c r="C276" s="55"/>
    </row>
    <row r="277" spans="3:3" ht="14.25" customHeight="1">
      <c r="C277" s="55"/>
    </row>
    <row r="278" spans="3:3" ht="14.25" customHeight="1">
      <c r="C278" s="55"/>
    </row>
    <row r="279" spans="3:3" ht="14.25" customHeight="1">
      <c r="C279" s="55"/>
    </row>
    <row r="280" spans="3:3" ht="14.25" customHeight="1">
      <c r="C280" s="55"/>
    </row>
    <row r="281" spans="3:3" ht="14.25" customHeight="1">
      <c r="C281" s="55"/>
    </row>
    <row r="282" spans="3:3" ht="14.25" customHeight="1">
      <c r="C282" s="55"/>
    </row>
    <row r="283" spans="3:3" ht="14.25" customHeight="1">
      <c r="C283" s="55"/>
    </row>
    <row r="284" spans="3:3" ht="14.25" customHeight="1">
      <c r="C284" s="55"/>
    </row>
    <row r="285" spans="3:3" ht="14.25" customHeight="1">
      <c r="C285" s="55"/>
    </row>
    <row r="286" spans="3:3" ht="14.25" customHeight="1">
      <c r="C286" s="55"/>
    </row>
    <row r="287" spans="3:3" ht="14.25" customHeight="1">
      <c r="C287" s="55"/>
    </row>
    <row r="288" spans="3:3" ht="14.25" customHeight="1">
      <c r="C288" s="55"/>
    </row>
    <row r="289" spans="3:3" ht="14.25" customHeight="1">
      <c r="C289" s="55"/>
    </row>
    <row r="290" spans="3:3" ht="14.25" customHeight="1">
      <c r="C290" s="55"/>
    </row>
    <row r="291" spans="3:3" ht="14.25" customHeight="1">
      <c r="C291" s="55"/>
    </row>
    <row r="292" spans="3:3" ht="14.25" customHeight="1">
      <c r="C292" s="55"/>
    </row>
    <row r="293" spans="3:3" ht="14.25" customHeight="1">
      <c r="C293" s="55"/>
    </row>
    <row r="294" spans="3:3" ht="14.25" customHeight="1">
      <c r="C294" s="55"/>
    </row>
    <row r="295" spans="3:3" ht="14.25" customHeight="1">
      <c r="C295" s="55"/>
    </row>
    <row r="296" spans="3:3" ht="14.25" customHeight="1">
      <c r="C296" s="55"/>
    </row>
    <row r="297" spans="3:3" ht="14.25" customHeight="1">
      <c r="C297" s="55"/>
    </row>
    <row r="298" spans="3:3" ht="14.25" customHeight="1">
      <c r="C298" s="55"/>
    </row>
    <row r="299" spans="3:3" ht="14.25" customHeight="1">
      <c r="C299" s="55"/>
    </row>
    <row r="300" spans="3:3" ht="14.25" customHeight="1">
      <c r="C300" s="55"/>
    </row>
    <row r="301" spans="3:3" ht="14.25" customHeight="1">
      <c r="C301" s="55"/>
    </row>
    <row r="302" spans="3:3" ht="14.25" customHeight="1">
      <c r="C302" s="55"/>
    </row>
    <row r="303" spans="3:3" ht="14.25" customHeight="1">
      <c r="C303" s="55"/>
    </row>
    <row r="304" spans="3:3" ht="14.25" customHeight="1">
      <c r="C304" s="55"/>
    </row>
    <row r="305" spans="3:3" ht="14.25" customHeight="1">
      <c r="C305" s="55"/>
    </row>
    <row r="306" spans="3:3" ht="14.25" customHeight="1">
      <c r="C306" s="55"/>
    </row>
    <row r="307" spans="3:3" ht="14.25" customHeight="1">
      <c r="C307" s="55"/>
    </row>
    <row r="308" spans="3:3" ht="14.25" customHeight="1">
      <c r="C308" s="55"/>
    </row>
    <row r="309" spans="3:3" ht="14.25" customHeight="1">
      <c r="C309" s="55"/>
    </row>
    <row r="310" spans="3:3" ht="14.25" customHeight="1">
      <c r="C310" s="55"/>
    </row>
    <row r="311" spans="3:3" ht="14.25" customHeight="1">
      <c r="C311" s="55"/>
    </row>
    <row r="312" spans="3:3" ht="14.25" customHeight="1">
      <c r="C312" s="55"/>
    </row>
    <row r="313" spans="3:3" ht="14.25" customHeight="1">
      <c r="C313" s="55"/>
    </row>
    <row r="314" spans="3:3" ht="14.25" customHeight="1">
      <c r="C314" s="55"/>
    </row>
    <row r="315" spans="3:3" ht="14.25" customHeight="1">
      <c r="C315" s="55"/>
    </row>
    <row r="316" spans="3:3" ht="14.25" customHeight="1">
      <c r="C316" s="55"/>
    </row>
    <row r="317" spans="3:3" ht="14.25" customHeight="1">
      <c r="C317" s="55"/>
    </row>
    <row r="318" spans="3:3" ht="14.25" customHeight="1">
      <c r="C318" s="55"/>
    </row>
    <row r="319" spans="3:3" ht="14.25" customHeight="1">
      <c r="C319" s="55"/>
    </row>
    <row r="320" spans="3:3" ht="14.25" customHeight="1">
      <c r="C320" s="55"/>
    </row>
    <row r="321" spans="3:3" ht="14.25" customHeight="1">
      <c r="C321" s="55"/>
    </row>
    <row r="322" spans="3:3" ht="14.25" customHeight="1">
      <c r="C322" s="55"/>
    </row>
    <row r="323" spans="3:3" ht="14.25" customHeight="1">
      <c r="C323" s="55"/>
    </row>
    <row r="324" spans="3:3" ht="14.25" customHeight="1">
      <c r="C324" s="55"/>
    </row>
    <row r="325" spans="3:3" ht="14.25" customHeight="1">
      <c r="C325" s="55"/>
    </row>
    <row r="326" spans="3:3" ht="14.25" customHeight="1">
      <c r="C326" s="55"/>
    </row>
    <row r="327" spans="3:3" ht="14.25" customHeight="1">
      <c r="C327" s="55"/>
    </row>
    <row r="328" spans="3:3" ht="14.25" customHeight="1">
      <c r="C328" s="55"/>
    </row>
    <row r="329" spans="3:3" ht="14.25" customHeight="1">
      <c r="C329" s="55"/>
    </row>
    <row r="330" spans="3:3" ht="14.25" customHeight="1">
      <c r="C330" s="55"/>
    </row>
    <row r="331" spans="3:3" ht="14.25" customHeight="1">
      <c r="C331" s="55"/>
    </row>
    <row r="332" spans="3:3" ht="14.25" customHeight="1">
      <c r="C332" s="55"/>
    </row>
    <row r="333" spans="3:3" ht="14.25" customHeight="1">
      <c r="C333" s="55"/>
    </row>
    <row r="334" spans="3:3" ht="14.25" customHeight="1">
      <c r="C334" s="55"/>
    </row>
    <row r="335" spans="3:3" ht="14.25" customHeight="1">
      <c r="C335" s="55"/>
    </row>
    <row r="336" spans="3:3" ht="14.25" customHeight="1">
      <c r="C336" s="55"/>
    </row>
    <row r="337" spans="3:3" ht="14.25" customHeight="1">
      <c r="C337" s="55"/>
    </row>
    <row r="338" spans="3:3" ht="14.25" customHeight="1">
      <c r="C338" s="55"/>
    </row>
    <row r="339" spans="3:3" ht="14.25" customHeight="1">
      <c r="C339" s="55"/>
    </row>
    <row r="340" spans="3:3" ht="14.25" customHeight="1">
      <c r="C340" s="55"/>
    </row>
    <row r="341" spans="3:3" ht="14.25" customHeight="1">
      <c r="C341" s="55"/>
    </row>
    <row r="342" spans="3:3" ht="14.25" customHeight="1">
      <c r="C342" s="55"/>
    </row>
    <row r="343" spans="3:3" ht="14.25" customHeight="1">
      <c r="C343" s="55"/>
    </row>
    <row r="344" spans="3:3" ht="14.25" customHeight="1">
      <c r="C344" s="55"/>
    </row>
    <row r="345" spans="3:3" ht="14.25" customHeight="1">
      <c r="C345" s="55"/>
    </row>
    <row r="346" spans="3:3" ht="14.25" customHeight="1">
      <c r="C346" s="55"/>
    </row>
    <row r="347" spans="3:3" ht="14.25" customHeight="1">
      <c r="C347" s="55"/>
    </row>
    <row r="348" spans="3:3" ht="14.25" customHeight="1">
      <c r="C348" s="55"/>
    </row>
    <row r="349" spans="3:3" ht="14.25" customHeight="1">
      <c r="C349" s="55"/>
    </row>
    <row r="350" spans="3:3" ht="14.25" customHeight="1">
      <c r="C350" s="55"/>
    </row>
    <row r="351" spans="3:3" ht="14.25" customHeight="1">
      <c r="C351" s="55"/>
    </row>
    <row r="352" spans="3:3" ht="14.25" customHeight="1">
      <c r="C352" s="55"/>
    </row>
    <row r="353" spans="3:3" ht="14.25" customHeight="1">
      <c r="C353" s="55"/>
    </row>
    <row r="354" spans="3:3" ht="14.25" customHeight="1">
      <c r="C354" s="55"/>
    </row>
    <row r="355" spans="3:3" ht="14.25" customHeight="1">
      <c r="C355" s="55"/>
    </row>
    <row r="356" spans="3:3" ht="14.25" customHeight="1">
      <c r="C356" s="55"/>
    </row>
    <row r="357" spans="3:3" ht="14.25" customHeight="1">
      <c r="C357" s="55"/>
    </row>
    <row r="358" spans="3:3" ht="14.25" customHeight="1">
      <c r="C358" s="55"/>
    </row>
    <row r="359" spans="3:3" ht="14.25" customHeight="1">
      <c r="C359" s="55"/>
    </row>
    <row r="360" spans="3:3" ht="14.25" customHeight="1">
      <c r="C360" s="55"/>
    </row>
    <row r="361" spans="3:3" ht="14.25" customHeight="1">
      <c r="C361" s="55"/>
    </row>
    <row r="362" spans="3:3" ht="14.25" customHeight="1">
      <c r="C362" s="55"/>
    </row>
    <row r="363" spans="3:3" ht="14.25" customHeight="1">
      <c r="C363" s="55"/>
    </row>
    <row r="364" spans="3:3" ht="14.25" customHeight="1">
      <c r="C364" s="55"/>
    </row>
    <row r="365" spans="3:3" ht="14.25" customHeight="1">
      <c r="C365" s="55"/>
    </row>
    <row r="366" spans="3:3" ht="14.25" customHeight="1">
      <c r="C366" s="55"/>
    </row>
    <row r="367" spans="3:3" ht="14.25" customHeight="1">
      <c r="C367" s="55"/>
    </row>
    <row r="368" spans="3:3" ht="14.25" customHeight="1">
      <c r="C368" s="55"/>
    </row>
    <row r="369" spans="3:3" ht="14.25" customHeight="1">
      <c r="C369" s="55"/>
    </row>
    <row r="370" spans="3:3" ht="14.25" customHeight="1">
      <c r="C370" s="55"/>
    </row>
    <row r="371" spans="3:3" ht="14.25" customHeight="1">
      <c r="C371" s="55"/>
    </row>
    <row r="372" spans="3:3" ht="14.25" customHeight="1">
      <c r="C372" s="55"/>
    </row>
    <row r="373" spans="3:3" ht="14.25" customHeight="1">
      <c r="C373" s="55"/>
    </row>
    <row r="374" spans="3:3" ht="14.25" customHeight="1">
      <c r="C374" s="55"/>
    </row>
    <row r="375" spans="3:3" ht="14.25" customHeight="1">
      <c r="C375" s="55"/>
    </row>
    <row r="376" spans="3:3" ht="14.25" customHeight="1">
      <c r="C376" s="55"/>
    </row>
    <row r="377" spans="3:3" ht="14.25" customHeight="1">
      <c r="C377" s="55"/>
    </row>
    <row r="378" spans="3:3" ht="14.25" customHeight="1">
      <c r="C378" s="55"/>
    </row>
    <row r="379" spans="3:3" ht="14.25" customHeight="1">
      <c r="C379" s="55"/>
    </row>
    <row r="380" spans="3:3" ht="14.25" customHeight="1">
      <c r="C380" s="55"/>
    </row>
    <row r="381" spans="3:3" ht="14.25" customHeight="1">
      <c r="C381" s="55"/>
    </row>
    <row r="382" spans="3:3" ht="14.25" customHeight="1">
      <c r="C382" s="55"/>
    </row>
    <row r="383" spans="3:3" ht="14.25" customHeight="1">
      <c r="C383" s="55"/>
    </row>
    <row r="384" spans="3:3" ht="14.25" customHeight="1">
      <c r="C384" s="55"/>
    </row>
    <row r="385" spans="3:3" ht="14.25" customHeight="1">
      <c r="C385" s="55"/>
    </row>
    <row r="386" spans="3:3" ht="14.25" customHeight="1">
      <c r="C386" s="55"/>
    </row>
    <row r="387" spans="3:3" ht="14.25" customHeight="1">
      <c r="C387" s="55"/>
    </row>
    <row r="388" spans="3:3" ht="14.25" customHeight="1">
      <c r="C388" s="55"/>
    </row>
    <row r="389" spans="3:3" ht="14.25" customHeight="1">
      <c r="C389" s="55"/>
    </row>
    <row r="390" spans="3:3" ht="14.25" customHeight="1">
      <c r="C390" s="55"/>
    </row>
    <row r="391" spans="3:3" ht="14.25" customHeight="1">
      <c r="C391" s="55"/>
    </row>
    <row r="392" spans="3:3" ht="14.25" customHeight="1">
      <c r="C392" s="55"/>
    </row>
    <row r="393" spans="3:3" ht="14.25" customHeight="1">
      <c r="C393" s="55"/>
    </row>
    <row r="394" spans="3:3" ht="14.25" customHeight="1">
      <c r="C394" s="55"/>
    </row>
    <row r="395" spans="3:3" ht="14.25" customHeight="1">
      <c r="C395" s="55"/>
    </row>
    <row r="396" spans="3:3" ht="14.25" customHeight="1">
      <c r="C396" s="55"/>
    </row>
    <row r="397" spans="3:3" ht="14.25" customHeight="1">
      <c r="C397" s="55"/>
    </row>
    <row r="398" spans="3:3" ht="14.25" customHeight="1">
      <c r="C398" s="55"/>
    </row>
    <row r="399" spans="3:3" ht="14.25" customHeight="1">
      <c r="C399" s="55"/>
    </row>
    <row r="400" spans="3:3" ht="14.25" customHeight="1">
      <c r="C400" s="55"/>
    </row>
    <row r="401" spans="3:3" ht="14.25" customHeight="1">
      <c r="C401" s="55"/>
    </row>
    <row r="402" spans="3:3" ht="14.25" customHeight="1">
      <c r="C402" s="55"/>
    </row>
    <row r="403" spans="3:3" ht="14.25" customHeight="1">
      <c r="C403" s="55"/>
    </row>
    <row r="404" spans="3:3" ht="14.25" customHeight="1">
      <c r="C404" s="55"/>
    </row>
    <row r="405" spans="3:3" ht="14.25" customHeight="1">
      <c r="C405" s="55"/>
    </row>
    <row r="406" spans="3:3" ht="14.25" customHeight="1">
      <c r="C406" s="55"/>
    </row>
    <row r="407" spans="3:3" ht="14.25" customHeight="1">
      <c r="C407" s="55"/>
    </row>
    <row r="408" spans="3:3" ht="14.25" customHeight="1">
      <c r="C408" s="55"/>
    </row>
    <row r="409" spans="3:3" ht="14.25" customHeight="1">
      <c r="C409" s="55"/>
    </row>
    <row r="410" spans="3:3" ht="14.25" customHeight="1">
      <c r="C410" s="55"/>
    </row>
    <row r="411" spans="3:3" ht="14.25" customHeight="1">
      <c r="C411" s="55"/>
    </row>
    <row r="412" spans="3:3" ht="14.25" customHeight="1">
      <c r="C412" s="55"/>
    </row>
    <row r="413" spans="3:3" ht="14.25" customHeight="1">
      <c r="C413" s="55"/>
    </row>
    <row r="414" spans="3:3" ht="14.25" customHeight="1">
      <c r="C414" s="55"/>
    </row>
    <row r="415" spans="3:3" ht="14.25" customHeight="1">
      <c r="C415" s="55"/>
    </row>
    <row r="416" spans="3:3" ht="14.25" customHeight="1">
      <c r="C416" s="55"/>
    </row>
    <row r="417" spans="3:3" ht="14.25" customHeight="1">
      <c r="C417" s="55"/>
    </row>
    <row r="418" spans="3:3" ht="14.25" customHeight="1">
      <c r="C418" s="55"/>
    </row>
    <row r="419" spans="3:3" ht="14.25" customHeight="1">
      <c r="C419" s="55"/>
    </row>
    <row r="420" spans="3:3" ht="14.25" customHeight="1">
      <c r="C420" s="55"/>
    </row>
    <row r="421" spans="3:3" ht="14.25" customHeight="1">
      <c r="C421" s="55"/>
    </row>
    <row r="422" spans="3:3" ht="14.25" customHeight="1">
      <c r="C422" s="55"/>
    </row>
    <row r="423" spans="3:3" ht="14.25" customHeight="1">
      <c r="C423" s="55"/>
    </row>
    <row r="424" spans="3:3" ht="14.25" customHeight="1">
      <c r="C424" s="55"/>
    </row>
    <row r="425" spans="3:3" ht="14.25" customHeight="1">
      <c r="C425" s="55"/>
    </row>
    <row r="426" spans="3:3" ht="14.25" customHeight="1">
      <c r="C426" s="55"/>
    </row>
    <row r="427" spans="3:3" ht="14.25" customHeight="1">
      <c r="C427" s="55"/>
    </row>
    <row r="428" spans="3:3" ht="14.25" customHeight="1">
      <c r="C428" s="55"/>
    </row>
    <row r="429" spans="3:3" ht="14.25" customHeight="1">
      <c r="C429" s="55"/>
    </row>
    <row r="430" spans="3:3" ht="14.25" customHeight="1">
      <c r="C430" s="55"/>
    </row>
    <row r="431" spans="3:3" ht="14.25" customHeight="1">
      <c r="C431" s="55"/>
    </row>
    <row r="432" spans="3:3" ht="14.25" customHeight="1">
      <c r="C432" s="55"/>
    </row>
    <row r="433" spans="3:3" ht="14.25" customHeight="1">
      <c r="C433" s="55"/>
    </row>
    <row r="434" spans="3:3" ht="14.25" customHeight="1">
      <c r="C434" s="55"/>
    </row>
    <row r="435" spans="3:3" ht="14.25" customHeight="1">
      <c r="C435" s="55"/>
    </row>
    <row r="436" spans="3:3" ht="14.25" customHeight="1">
      <c r="C436" s="55"/>
    </row>
    <row r="437" spans="3:3" ht="14.25" customHeight="1">
      <c r="C437" s="55"/>
    </row>
    <row r="438" spans="3:3" ht="14.25" customHeight="1">
      <c r="C438" s="55"/>
    </row>
    <row r="439" spans="3:3" ht="14.25" customHeight="1">
      <c r="C439" s="55"/>
    </row>
    <row r="440" spans="3:3" ht="14.25" customHeight="1">
      <c r="C440" s="55"/>
    </row>
    <row r="441" spans="3:3" ht="14.25" customHeight="1">
      <c r="C441" s="55"/>
    </row>
    <row r="442" spans="3:3" ht="14.25" customHeight="1">
      <c r="C442" s="55"/>
    </row>
    <row r="443" spans="3:3" ht="14.25" customHeight="1">
      <c r="C443" s="55"/>
    </row>
    <row r="444" spans="3:3" ht="14.25" customHeight="1">
      <c r="C444" s="55"/>
    </row>
    <row r="445" spans="3:3" ht="14.25" customHeight="1">
      <c r="C445" s="55"/>
    </row>
    <row r="446" spans="3:3" ht="14.25" customHeight="1">
      <c r="C446" s="55"/>
    </row>
    <row r="447" spans="3:3" ht="14.25" customHeight="1">
      <c r="C447" s="55"/>
    </row>
    <row r="448" spans="3:3" ht="14.25" customHeight="1">
      <c r="C448" s="55"/>
    </row>
    <row r="449" spans="3:3" ht="14.25" customHeight="1">
      <c r="C449" s="55"/>
    </row>
    <row r="450" spans="3:3" ht="14.25" customHeight="1">
      <c r="C450" s="55"/>
    </row>
    <row r="451" spans="3:3" ht="14.25" customHeight="1">
      <c r="C451" s="55"/>
    </row>
    <row r="452" spans="3:3" ht="14.25" customHeight="1">
      <c r="C452" s="55"/>
    </row>
    <row r="453" spans="3:3" ht="14.25" customHeight="1">
      <c r="C453" s="55"/>
    </row>
    <row r="454" spans="3:3" ht="14.25" customHeight="1">
      <c r="C454" s="55"/>
    </row>
    <row r="455" spans="3:3" ht="14.25" customHeight="1">
      <c r="C455" s="55"/>
    </row>
    <row r="456" spans="3:3" ht="14.25" customHeight="1">
      <c r="C456" s="55"/>
    </row>
    <row r="457" spans="3:3" ht="14.25" customHeight="1">
      <c r="C457" s="55"/>
    </row>
    <row r="458" spans="3:3" ht="14.25" customHeight="1">
      <c r="C458" s="55"/>
    </row>
    <row r="459" spans="3:3" ht="14.25" customHeight="1">
      <c r="C459" s="55"/>
    </row>
    <row r="460" spans="3:3" ht="14.25" customHeight="1">
      <c r="C460" s="55"/>
    </row>
    <row r="461" spans="3:3" ht="14.25" customHeight="1">
      <c r="C461" s="55"/>
    </row>
    <row r="462" spans="3:3" ht="14.25" customHeight="1">
      <c r="C462" s="55"/>
    </row>
    <row r="463" spans="3:3" ht="14.25" customHeight="1">
      <c r="C463" s="55"/>
    </row>
    <row r="464" spans="3:3" ht="14.25" customHeight="1">
      <c r="C464" s="55"/>
    </row>
    <row r="465" spans="3:3" ht="14.25" customHeight="1">
      <c r="C465" s="55"/>
    </row>
    <row r="466" spans="3:3" ht="14.25" customHeight="1">
      <c r="C466" s="55"/>
    </row>
    <row r="467" spans="3:3" ht="14.25" customHeight="1">
      <c r="C467" s="55"/>
    </row>
    <row r="468" spans="3:3" ht="14.25" customHeight="1">
      <c r="C468" s="55"/>
    </row>
    <row r="469" spans="3:3" ht="14.25" customHeight="1">
      <c r="C469" s="55"/>
    </row>
    <row r="470" spans="3:3" ht="14.25" customHeight="1">
      <c r="C470" s="55"/>
    </row>
    <row r="471" spans="3:3" ht="14.25" customHeight="1">
      <c r="C471" s="55"/>
    </row>
    <row r="472" spans="3:3" ht="14.25" customHeight="1">
      <c r="C472" s="55"/>
    </row>
    <row r="473" spans="3:3" ht="14.25" customHeight="1">
      <c r="C473" s="55"/>
    </row>
    <row r="474" spans="3:3" ht="14.25" customHeight="1">
      <c r="C474" s="55"/>
    </row>
    <row r="475" spans="3:3" ht="14.25" customHeight="1">
      <c r="C475" s="55"/>
    </row>
    <row r="476" spans="3:3" ht="14.25" customHeight="1">
      <c r="C476" s="55"/>
    </row>
    <row r="477" spans="3:3" ht="14.25" customHeight="1">
      <c r="C477" s="55"/>
    </row>
    <row r="478" spans="3:3" ht="14.25" customHeight="1">
      <c r="C478" s="55"/>
    </row>
    <row r="479" spans="3:3" ht="14.25" customHeight="1">
      <c r="C479" s="55"/>
    </row>
    <row r="480" spans="3:3" ht="14.25" customHeight="1">
      <c r="C480" s="55"/>
    </row>
    <row r="481" spans="3:3" ht="14.25" customHeight="1">
      <c r="C481" s="55"/>
    </row>
    <row r="482" spans="3:3" ht="14.25" customHeight="1">
      <c r="C482" s="55"/>
    </row>
    <row r="483" spans="3:3" ht="14.25" customHeight="1">
      <c r="C483" s="55"/>
    </row>
    <row r="484" spans="3:3" ht="14.25" customHeight="1">
      <c r="C484" s="55"/>
    </row>
    <row r="485" spans="3:3" ht="14.25" customHeight="1">
      <c r="C485" s="55"/>
    </row>
    <row r="486" spans="3:3" ht="14.25" customHeight="1">
      <c r="C486" s="55"/>
    </row>
    <row r="487" spans="3:3" ht="14.25" customHeight="1">
      <c r="C487" s="55"/>
    </row>
    <row r="488" spans="3:3" ht="14.25" customHeight="1">
      <c r="C488" s="55"/>
    </row>
    <row r="489" spans="3:3" ht="14.25" customHeight="1">
      <c r="C489" s="55"/>
    </row>
    <row r="490" spans="3:3" ht="14.25" customHeight="1">
      <c r="C490" s="55"/>
    </row>
    <row r="491" spans="3:3" ht="14.25" customHeight="1">
      <c r="C491" s="55"/>
    </row>
    <row r="492" spans="3:3" ht="14.25" customHeight="1">
      <c r="C492" s="55"/>
    </row>
    <row r="493" spans="3:3" ht="14.25" customHeight="1">
      <c r="C493" s="55"/>
    </row>
    <row r="494" spans="3:3" ht="14.25" customHeight="1">
      <c r="C494" s="55"/>
    </row>
    <row r="495" spans="3:3" ht="14.25" customHeight="1">
      <c r="C495" s="55"/>
    </row>
    <row r="496" spans="3:3" ht="14.25" customHeight="1">
      <c r="C496" s="55"/>
    </row>
    <row r="497" spans="3:3" ht="14.25" customHeight="1">
      <c r="C497" s="55"/>
    </row>
    <row r="498" spans="3:3" ht="14.25" customHeight="1">
      <c r="C498" s="55"/>
    </row>
    <row r="499" spans="3:3" ht="14.25" customHeight="1">
      <c r="C499" s="55"/>
    </row>
    <row r="500" spans="3:3" ht="14.25" customHeight="1">
      <c r="C500" s="55"/>
    </row>
    <row r="501" spans="3:3" ht="14.25" customHeight="1">
      <c r="C501" s="55"/>
    </row>
    <row r="502" spans="3:3" ht="14.25" customHeight="1">
      <c r="C502" s="55"/>
    </row>
    <row r="503" spans="3:3" ht="14.25" customHeight="1">
      <c r="C503" s="55"/>
    </row>
    <row r="504" spans="3:3" ht="14.25" customHeight="1">
      <c r="C504" s="55"/>
    </row>
    <row r="505" spans="3:3" ht="14.25" customHeight="1">
      <c r="C505" s="55"/>
    </row>
    <row r="506" spans="3:3" ht="14.25" customHeight="1">
      <c r="C506" s="55"/>
    </row>
    <row r="507" spans="3:3" ht="14.25" customHeight="1">
      <c r="C507" s="55"/>
    </row>
    <row r="508" spans="3:3" ht="14.25" customHeight="1">
      <c r="C508" s="55"/>
    </row>
    <row r="509" spans="3:3" ht="14.25" customHeight="1">
      <c r="C509" s="55"/>
    </row>
    <row r="510" spans="3:3" ht="14.25" customHeight="1">
      <c r="C510" s="55"/>
    </row>
    <row r="511" spans="3:3" ht="14.25" customHeight="1">
      <c r="C511" s="55"/>
    </row>
    <row r="512" spans="3:3" ht="14.25" customHeight="1">
      <c r="C512" s="55"/>
    </row>
    <row r="513" spans="3:3" ht="14.25" customHeight="1">
      <c r="C513" s="55"/>
    </row>
    <row r="514" spans="3:3" ht="14.25" customHeight="1">
      <c r="C514" s="55"/>
    </row>
    <row r="515" spans="3:3" ht="14.25" customHeight="1">
      <c r="C515" s="55"/>
    </row>
    <row r="516" spans="3:3" ht="14.25" customHeight="1">
      <c r="C516" s="55"/>
    </row>
    <row r="517" spans="3:3" ht="14.25" customHeight="1">
      <c r="C517" s="55"/>
    </row>
    <row r="518" spans="3:3" ht="14.25" customHeight="1">
      <c r="C518" s="55"/>
    </row>
    <row r="519" spans="3:3" ht="14.25" customHeight="1">
      <c r="C519" s="55"/>
    </row>
    <row r="520" spans="3:3" ht="14.25" customHeight="1">
      <c r="C520" s="55"/>
    </row>
    <row r="521" spans="3:3" ht="14.25" customHeight="1">
      <c r="C521" s="55"/>
    </row>
    <row r="522" spans="3:3" ht="14.25" customHeight="1">
      <c r="C522" s="55"/>
    </row>
    <row r="523" spans="3:3" ht="14.25" customHeight="1">
      <c r="C523" s="55"/>
    </row>
    <row r="524" spans="3:3" ht="14.25" customHeight="1">
      <c r="C524" s="55"/>
    </row>
    <row r="525" spans="3:3" ht="14.25" customHeight="1">
      <c r="C525" s="55"/>
    </row>
    <row r="526" spans="3:3" ht="14.25" customHeight="1">
      <c r="C526" s="55"/>
    </row>
    <row r="527" spans="3:3" ht="14.25" customHeight="1">
      <c r="C527" s="55"/>
    </row>
    <row r="528" spans="3:3" ht="14.25" customHeight="1">
      <c r="C528" s="55"/>
    </row>
    <row r="529" spans="3:3" ht="14.25" customHeight="1">
      <c r="C529" s="55"/>
    </row>
    <row r="530" spans="3:3" ht="14.25" customHeight="1">
      <c r="C530" s="55"/>
    </row>
    <row r="531" spans="3:3" ht="14.25" customHeight="1">
      <c r="C531" s="55"/>
    </row>
    <row r="532" spans="3:3" ht="14.25" customHeight="1">
      <c r="C532" s="55"/>
    </row>
    <row r="533" spans="3:3" ht="14.25" customHeight="1">
      <c r="C533" s="55"/>
    </row>
    <row r="534" spans="3:3" ht="14.25" customHeight="1">
      <c r="C534" s="55"/>
    </row>
    <row r="535" spans="3:3" ht="14.25" customHeight="1">
      <c r="C535" s="55"/>
    </row>
    <row r="536" spans="3:3" ht="14.25" customHeight="1">
      <c r="C536" s="55"/>
    </row>
    <row r="537" spans="3:3" ht="14.25" customHeight="1">
      <c r="C537" s="55"/>
    </row>
    <row r="538" spans="3:3" ht="14.25" customHeight="1">
      <c r="C538" s="55"/>
    </row>
    <row r="539" spans="3:3" ht="14.25" customHeight="1">
      <c r="C539" s="55"/>
    </row>
    <row r="540" spans="3:3" ht="14.25" customHeight="1">
      <c r="C540" s="55"/>
    </row>
    <row r="541" spans="3:3" ht="14.25" customHeight="1">
      <c r="C541" s="55"/>
    </row>
    <row r="542" spans="3:3" ht="14.25" customHeight="1">
      <c r="C542" s="55"/>
    </row>
    <row r="543" spans="3:3" ht="14.25" customHeight="1">
      <c r="C543" s="55"/>
    </row>
    <row r="544" spans="3:3" ht="14.25" customHeight="1">
      <c r="C544" s="55"/>
    </row>
    <row r="545" spans="3:3" ht="14.25" customHeight="1">
      <c r="C545" s="55"/>
    </row>
    <row r="546" spans="3:3" ht="14.25" customHeight="1">
      <c r="C546" s="55"/>
    </row>
    <row r="547" spans="3:3" ht="14.25" customHeight="1">
      <c r="C547" s="55"/>
    </row>
    <row r="548" spans="3:3" ht="14.25" customHeight="1">
      <c r="C548" s="55"/>
    </row>
    <row r="549" spans="3:3" ht="14.25" customHeight="1">
      <c r="C549" s="55"/>
    </row>
    <row r="550" spans="3:3" ht="14.25" customHeight="1">
      <c r="C550" s="55"/>
    </row>
    <row r="551" spans="3:3" ht="14.25" customHeight="1">
      <c r="C551" s="55"/>
    </row>
    <row r="552" spans="3:3" ht="14.25" customHeight="1">
      <c r="C552" s="55"/>
    </row>
    <row r="553" spans="3:3" ht="14.25" customHeight="1">
      <c r="C553" s="55"/>
    </row>
    <row r="554" spans="3:3" ht="14.25" customHeight="1">
      <c r="C554" s="55"/>
    </row>
    <row r="555" spans="3:3" ht="14.25" customHeight="1">
      <c r="C555" s="55"/>
    </row>
    <row r="556" spans="3:3" ht="14.25" customHeight="1">
      <c r="C556" s="55"/>
    </row>
    <row r="557" spans="3:3" ht="14.25" customHeight="1">
      <c r="C557" s="55"/>
    </row>
    <row r="558" spans="3:3" ht="14.25" customHeight="1">
      <c r="C558" s="55"/>
    </row>
    <row r="559" spans="3:3" ht="14.25" customHeight="1">
      <c r="C559" s="55"/>
    </row>
    <row r="560" spans="3:3" ht="14.25" customHeight="1">
      <c r="C560" s="55"/>
    </row>
    <row r="561" spans="3:3" ht="14.25" customHeight="1">
      <c r="C561" s="55"/>
    </row>
    <row r="562" spans="3:3" ht="14.25" customHeight="1">
      <c r="C562" s="55"/>
    </row>
    <row r="563" spans="3:3" ht="14.25" customHeight="1">
      <c r="C563" s="55"/>
    </row>
    <row r="564" spans="3:3" ht="14.25" customHeight="1">
      <c r="C564" s="55"/>
    </row>
    <row r="565" spans="3:3" ht="14.25" customHeight="1">
      <c r="C565" s="55"/>
    </row>
    <row r="566" spans="3:3" ht="14.25" customHeight="1">
      <c r="C566" s="55"/>
    </row>
    <row r="567" spans="3:3" ht="14.25" customHeight="1">
      <c r="C567" s="55"/>
    </row>
    <row r="568" spans="3:3" ht="14.25" customHeight="1">
      <c r="C568" s="55"/>
    </row>
    <row r="569" spans="3:3" ht="14.25" customHeight="1">
      <c r="C569" s="55"/>
    </row>
    <row r="570" spans="3:3" ht="14.25" customHeight="1">
      <c r="C570" s="55"/>
    </row>
    <row r="571" spans="3:3" ht="14.25" customHeight="1">
      <c r="C571" s="55"/>
    </row>
    <row r="572" spans="3:3" ht="14.25" customHeight="1">
      <c r="C572" s="55"/>
    </row>
    <row r="573" spans="3:3" ht="14.25" customHeight="1">
      <c r="C573" s="55"/>
    </row>
    <row r="574" spans="3:3" ht="14.25" customHeight="1">
      <c r="C574" s="55"/>
    </row>
    <row r="575" spans="3:3" ht="14.25" customHeight="1">
      <c r="C575" s="55"/>
    </row>
    <row r="576" spans="3:3" ht="14.25" customHeight="1">
      <c r="C576" s="55"/>
    </row>
    <row r="577" spans="3:3" ht="14.25" customHeight="1">
      <c r="C577" s="55"/>
    </row>
    <row r="578" spans="3:3" ht="14.25" customHeight="1">
      <c r="C578" s="55"/>
    </row>
    <row r="579" spans="3:3" ht="14.25" customHeight="1">
      <c r="C579" s="55"/>
    </row>
    <row r="580" spans="3:3" ht="14.25" customHeight="1">
      <c r="C580" s="55"/>
    </row>
    <row r="581" spans="3:3" ht="14.25" customHeight="1">
      <c r="C581" s="55"/>
    </row>
    <row r="582" spans="3:3" ht="14.25" customHeight="1">
      <c r="C582" s="55"/>
    </row>
    <row r="583" spans="3:3" ht="14.25" customHeight="1">
      <c r="C583" s="55"/>
    </row>
    <row r="584" spans="3:3" ht="14.25" customHeight="1">
      <c r="C584" s="55"/>
    </row>
    <row r="585" spans="3:3" ht="14.25" customHeight="1">
      <c r="C585" s="55"/>
    </row>
    <row r="586" spans="3:3" ht="14.25" customHeight="1">
      <c r="C586" s="55"/>
    </row>
    <row r="587" spans="3:3" ht="14.25" customHeight="1">
      <c r="C587" s="55"/>
    </row>
    <row r="588" spans="3:3" ht="14.25" customHeight="1">
      <c r="C588" s="55"/>
    </row>
    <row r="589" spans="3:3" ht="14.25" customHeight="1">
      <c r="C589" s="55"/>
    </row>
    <row r="590" spans="3:3" ht="14.25" customHeight="1">
      <c r="C590" s="55"/>
    </row>
    <row r="591" spans="3:3" ht="14.25" customHeight="1">
      <c r="C591" s="55"/>
    </row>
    <row r="592" spans="3:3" ht="14.25" customHeight="1">
      <c r="C592" s="55"/>
    </row>
    <row r="593" spans="3:3" ht="14.25" customHeight="1">
      <c r="C593" s="55"/>
    </row>
    <row r="594" spans="3:3" ht="14.25" customHeight="1">
      <c r="C594" s="55"/>
    </row>
    <row r="595" spans="3:3" ht="14.25" customHeight="1">
      <c r="C595" s="55"/>
    </row>
    <row r="596" spans="3:3" ht="14.25" customHeight="1">
      <c r="C596" s="55"/>
    </row>
    <row r="597" spans="3:3" ht="14.25" customHeight="1">
      <c r="C597" s="55"/>
    </row>
    <row r="598" spans="3:3" ht="14.25" customHeight="1">
      <c r="C598" s="55"/>
    </row>
    <row r="599" spans="3:3" ht="14.25" customHeight="1">
      <c r="C599" s="55"/>
    </row>
    <row r="600" spans="3:3" ht="14.25" customHeight="1">
      <c r="C600" s="55"/>
    </row>
    <row r="601" spans="3:3" ht="14.25" customHeight="1">
      <c r="C601" s="55"/>
    </row>
    <row r="602" spans="3:3" ht="14.25" customHeight="1">
      <c r="C602" s="55"/>
    </row>
    <row r="603" spans="3:3" ht="14.25" customHeight="1">
      <c r="C603" s="55"/>
    </row>
    <row r="604" spans="3:3" ht="14.25" customHeight="1">
      <c r="C604" s="55"/>
    </row>
    <row r="605" spans="3:3" ht="14.25" customHeight="1">
      <c r="C605" s="55"/>
    </row>
    <row r="606" spans="3:3" ht="14.25" customHeight="1">
      <c r="C606" s="55"/>
    </row>
    <row r="607" spans="3:3" ht="14.25" customHeight="1">
      <c r="C607" s="55"/>
    </row>
    <row r="608" spans="3:3" ht="14.25" customHeight="1">
      <c r="C608" s="55"/>
    </row>
    <row r="609" spans="3:3" ht="14.25" customHeight="1">
      <c r="C609" s="55"/>
    </row>
    <row r="610" spans="3:3" ht="14.25" customHeight="1">
      <c r="C610" s="55"/>
    </row>
    <row r="611" spans="3:3" ht="14.25" customHeight="1">
      <c r="C611" s="55"/>
    </row>
    <row r="612" spans="3:3" ht="14.25" customHeight="1">
      <c r="C612" s="55"/>
    </row>
    <row r="613" spans="3:3" ht="14.25" customHeight="1">
      <c r="C613" s="55"/>
    </row>
    <row r="614" spans="3:3" ht="14.25" customHeight="1">
      <c r="C614" s="55"/>
    </row>
    <row r="615" spans="3:3" ht="14.25" customHeight="1">
      <c r="C615" s="55"/>
    </row>
    <row r="616" spans="3:3" ht="14.25" customHeight="1">
      <c r="C616" s="55"/>
    </row>
    <row r="617" spans="3:3" ht="14.25" customHeight="1">
      <c r="C617" s="55"/>
    </row>
    <row r="618" spans="3:3" ht="14.25" customHeight="1">
      <c r="C618" s="55"/>
    </row>
    <row r="619" spans="3:3" ht="14.25" customHeight="1">
      <c r="C619" s="55"/>
    </row>
    <row r="620" spans="3:3" ht="14.25" customHeight="1">
      <c r="C620" s="55"/>
    </row>
    <row r="621" spans="3:3" ht="14.25" customHeight="1">
      <c r="C621" s="55"/>
    </row>
    <row r="622" spans="3:3" ht="14.25" customHeight="1">
      <c r="C622" s="55"/>
    </row>
    <row r="623" spans="3:3" ht="14.25" customHeight="1">
      <c r="C623" s="55"/>
    </row>
    <row r="624" spans="3:3" ht="14.25" customHeight="1">
      <c r="C624" s="55"/>
    </row>
    <row r="625" spans="3:3" ht="14.25" customHeight="1">
      <c r="C625" s="55"/>
    </row>
    <row r="626" spans="3:3" ht="14.25" customHeight="1">
      <c r="C626" s="55"/>
    </row>
    <row r="627" spans="3:3" ht="14.25" customHeight="1">
      <c r="C627" s="55"/>
    </row>
    <row r="628" spans="3:3" ht="14.25" customHeight="1">
      <c r="C628" s="55"/>
    </row>
    <row r="629" spans="3:3" ht="14.25" customHeight="1">
      <c r="C629" s="55"/>
    </row>
    <row r="630" spans="3:3" ht="14.25" customHeight="1">
      <c r="C630" s="55"/>
    </row>
    <row r="631" spans="3:3" ht="14.25" customHeight="1">
      <c r="C631" s="55"/>
    </row>
    <row r="632" spans="3:3" ht="14.25" customHeight="1">
      <c r="C632" s="55"/>
    </row>
    <row r="633" spans="3:3" ht="14.25" customHeight="1">
      <c r="C633" s="55"/>
    </row>
    <row r="634" spans="3:3" ht="14.25" customHeight="1">
      <c r="C634" s="55"/>
    </row>
    <row r="635" spans="3:3" ht="14.25" customHeight="1">
      <c r="C635" s="55"/>
    </row>
    <row r="636" spans="3:3" ht="14.25" customHeight="1">
      <c r="C636" s="55"/>
    </row>
    <row r="637" spans="3:3" ht="14.25" customHeight="1">
      <c r="C637" s="55"/>
    </row>
    <row r="638" spans="3:3" ht="14.25" customHeight="1">
      <c r="C638" s="55"/>
    </row>
    <row r="639" spans="3:3" ht="14.25" customHeight="1">
      <c r="C639" s="55"/>
    </row>
    <row r="640" spans="3:3" ht="14.25" customHeight="1">
      <c r="C640" s="55"/>
    </row>
    <row r="641" spans="3:3" ht="14.25" customHeight="1">
      <c r="C641" s="55"/>
    </row>
    <row r="642" spans="3:3" ht="14.25" customHeight="1">
      <c r="C642" s="55"/>
    </row>
    <row r="643" spans="3:3" ht="14.25" customHeight="1">
      <c r="C643" s="55"/>
    </row>
    <row r="644" spans="3:3" ht="14.25" customHeight="1">
      <c r="C644" s="55"/>
    </row>
    <row r="645" spans="3:3" ht="14.25" customHeight="1">
      <c r="C645" s="55"/>
    </row>
    <row r="646" spans="3:3" ht="14.25" customHeight="1">
      <c r="C646" s="55"/>
    </row>
    <row r="647" spans="3:3" ht="14.25" customHeight="1">
      <c r="C647" s="55"/>
    </row>
    <row r="648" spans="3:3" ht="14.25" customHeight="1">
      <c r="C648" s="55"/>
    </row>
    <row r="649" spans="3:3" ht="14.25" customHeight="1">
      <c r="C649" s="55"/>
    </row>
    <row r="650" spans="3:3" ht="14.25" customHeight="1">
      <c r="C650" s="55"/>
    </row>
    <row r="651" spans="3:3" ht="14.25" customHeight="1">
      <c r="C651" s="55"/>
    </row>
    <row r="652" spans="3:3" ht="14.25" customHeight="1">
      <c r="C652" s="55"/>
    </row>
    <row r="653" spans="3:3" ht="14.25" customHeight="1">
      <c r="C653" s="55"/>
    </row>
    <row r="654" spans="3:3" ht="14.25" customHeight="1">
      <c r="C654" s="55"/>
    </row>
    <row r="655" spans="3:3" ht="14.25" customHeight="1">
      <c r="C655" s="55"/>
    </row>
    <row r="656" spans="3:3" ht="14.25" customHeight="1">
      <c r="C656" s="55"/>
    </row>
    <row r="657" spans="3:3" ht="14.25" customHeight="1">
      <c r="C657" s="55"/>
    </row>
    <row r="658" spans="3:3" ht="14.25" customHeight="1">
      <c r="C658" s="55"/>
    </row>
    <row r="659" spans="3:3" ht="14.25" customHeight="1">
      <c r="C659" s="55"/>
    </row>
    <row r="660" spans="3:3" ht="14.25" customHeight="1">
      <c r="C660" s="55"/>
    </row>
    <row r="661" spans="3:3" ht="14.25" customHeight="1">
      <c r="C661" s="55"/>
    </row>
    <row r="662" spans="3:3" ht="14.25" customHeight="1">
      <c r="C662" s="55"/>
    </row>
    <row r="663" spans="3:3" ht="14.25" customHeight="1">
      <c r="C663" s="55"/>
    </row>
    <row r="664" spans="3:3" ht="14.25" customHeight="1">
      <c r="C664" s="55"/>
    </row>
    <row r="665" spans="3:3" ht="14.25" customHeight="1">
      <c r="C665" s="55"/>
    </row>
    <row r="666" spans="3:3" ht="14.25" customHeight="1">
      <c r="C666" s="55"/>
    </row>
    <row r="667" spans="3:3" ht="14.25" customHeight="1">
      <c r="C667" s="55"/>
    </row>
    <row r="668" spans="3:3" ht="14.25" customHeight="1">
      <c r="C668" s="55"/>
    </row>
    <row r="669" spans="3:3" ht="14.25" customHeight="1">
      <c r="C669" s="55"/>
    </row>
    <row r="670" spans="3:3" ht="14.25" customHeight="1">
      <c r="C670" s="55"/>
    </row>
    <row r="671" spans="3:3" ht="14.25" customHeight="1">
      <c r="C671" s="55"/>
    </row>
    <row r="672" spans="3:3" ht="14.25" customHeight="1">
      <c r="C672" s="55"/>
    </row>
    <row r="673" spans="3:3" ht="14.25" customHeight="1">
      <c r="C673" s="55"/>
    </row>
    <row r="674" spans="3:3" ht="14.25" customHeight="1">
      <c r="C674" s="55"/>
    </row>
    <row r="675" spans="3:3" ht="14.25" customHeight="1">
      <c r="C675" s="55"/>
    </row>
    <row r="676" spans="3:3" ht="14.25" customHeight="1">
      <c r="C676" s="55"/>
    </row>
    <row r="677" spans="3:3" ht="14.25" customHeight="1">
      <c r="C677" s="55"/>
    </row>
    <row r="678" spans="3:3" ht="14.25" customHeight="1">
      <c r="C678" s="55"/>
    </row>
    <row r="679" spans="3:3" ht="14.25" customHeight="1">
      <c r="C679" s="55"/>
    </row>
    <row r="680" spans="3:3" ht="14.25" customHeight="1">
      <c r="C680" s="55"/>
    </row>
    <row r="681" spans="3:3" ht="14.25" customHeight="1">
      <c r="C681" s="55"/>
    </row>
    <row r="682" spans="3:3" ht="14.25" customHeight="1">
      <c r="C682" s="55"/>
    </row>
    <row r="683" spans="3:3" ht="14.25" customHeight="1">
      <c r="C683" s="55"/>
    </row>
    <row r="684" spans="3:3" ht="14.25" customHeight="1">
      <c r="C684" s="55"/>
    </row>
    <row r="685" spans="3:3" ht="14.25" customHeight="1">
      <c r="C685" s="55"/>
    </row>
    <row r="686" spans="3:3" ht="14.25" customHeight="1">
      <c r="C686" s="55"/>
    </row>
    <row r="687" spans="3:3" ht="14.25" customHeight="1">
      <c r="C687" s="55"/>
    </row>
    <row r="688" spans="3:3" ht="14.25" customHeight="1">
      <c r="C688" s="55"/>
    </row>
    <row r="689" spans="3:3" ht="14.25" customHeight="1">
      <c r="C689" s="55"/>
    </row>
    <row r="690" spans="3:3" ht="14.25" customHeight="1">
      <c r="C690" s="55"/>
    </row>
    <row r="691" spans="3:3" ht="14.25" customHeight="1">
      <c r="C691" s="55"/>
    </row>
    <row r="692" spans="3:3" ht="14.25" customHeight="1">
      <c r="C692" s="55"/>
    </row>
    <row r="693" spans="3:3" ht="14.25" customHeight="1">
      <c r="C693" s="55"/>
    </row>
    <row r="694" spans="3:3" ht="14.25" customHeight="1">
      <c r="C694" s="55"/>
    </row>
    <row r="695" spans="3:3" ht="14.25" customHeight="1">
      <c r="C695" s="55"/>
    </row>
    <row r="696" spans="3:3" ht="14.25" customHeight="1">
      <c r="C696" s="55"/>
    </row>
    <row r="697" spans="3:3" ht="14.25" customHeight="1">
      <c r="C697" s="55"/>
    </row>
    <row r="698" spans="3:3" ht="14.25" customHeight="1">
      <c r="C698" s="55"/>
    </row>
    <row r="699" spans="3:3" ht="14.25" customHeight="1">
      <c r="C699" s="55"/>
    </row>
    <row r="700" spans="3:3" ht="14.25" customHeight="1">
      <c r="C700" s="55"/>
    </row>
    <row r="701" spans="3:3" ht="14.25" customHeight="1">
      <c r="C701" s="55"/>
    </row>
    <row r="702" spans="3:3" ht="14.25" customHeight="1">
      <c r="C702" s="55"/>
    </row>
    <row r="703" spans="3:3" ht="14.25" customHeight="1">
      <c r="C703" s="55"/>
    </row>
    <row r="704" spans="3:3" ht="14.25" customHeight="1">
      <c r="C704" s="55"/>
    </row>
    <row r="705" spans="3:3" ht="14.25" customHeight="1">
      <c r="C705" s="55"/>
    </row>
    <row r="706" spans="3:3" ht="14.25" customHeight="1">
      <c r="C706" s="55"/>
    </row>
    <row r="707" spans="3:3" ht="14.25" customHeight="1">
      <c r="C707" s="55"/>
    </row>
    <row r="708" spans="3:3" ht="14.25" customHeight="1">
      <c r="C708" s="55"/>
    </row>
    <row r="709" spans="3:3" ht="14.25" customHeight="1">
      <c r="C709" s="55"/>
    </row>
    <row r="710" spans="3:3" ht="14.25" customHeight="1">
      <c r="C710" s="55"/>
    </row>
    <row r="711" spans="3:3" ht="14.25" customHeight="1">
      <c r="C711" s="55"/>
    </row>
    <row r="712" spans="3:3" ht="14.25" customHeight="1">
      <c r="C712" s="55"/>
    </row>
    <row r="713" spans="3:3" ht="14.25" customHeight="1">
      <c r="C713" s="55"/>
    </row>
    <row r="714" spans="3:3" ht="14.25" customHeight="1">
      <c r="C714" s="55"/>
    </row>
    <row r="715" spans="3:3" ht="14.25" customHeight="1">
      <c r="C715" s="55"/>
    </row>
    <row r="716" spans="3:3" ht="14.25" customHeight="1">
      <c r="C716" s="55"/>
    </row>
    <row r="717" spans="3:3" ht="14.25" customHeight="1">
      <c r="C717" s="55"/>
    </row>
    <row r="718" spans="3:3" ht="14.25" customHeight="1">
      <c r="C718" s="55"/>
    </row>
    <row r="719" spans="3:3" ht="14.25" customHeight="1">
      <c r="C719" s="55"/>
    </row>
    <row r="720" spans="3:3" ht="14.25" customHeight="1">
      <c r="C720" s="55"/>
    </row>
    <row r="721" spans="3:3" ht="14.25" customHeight="1">
      <c r="C721" s="55"/>
    </row>
    <row r="722" spans="3:3" ht="14.25" customHeight="1">
      <c r="C722" s="55"/>
    </row>
    <row r="723" spans="3:3" ht="14.25" customHeight="1">
      <c r="C723" s="55"/>
    </row>
    <row r="724" spans="3:3" ht="14.25" customHeight="1">
      <c r="C724" s="55"/>
    </row>
    <row r="725" spans="3:3" ht="14.25" customHeight="1">
      <c r="C725" s="55"/>
    </row>
    <row r="726" spans="3:3" ht="14.25" customHeight="1">
      <c r="C726" s="55"/>
    </row>
    <row r="727" spans="3:3" ht="14.25" customHeight="1">
      <c r="C727" s="55"/>
    </row>
    <row r="728" spans="3:3" ht="14.25" customHeight="1">
      <c r="C728" s="55"/>
    </row>
    <row r="729" spans="3:3" ht="14.25" customHeight="1">
      <c r="C729" s="55"/>
    </row>
    <row r="730" spans="3:3" ht="14.25" customHeight="1">
      <c r="C730" s="55"/>
    </row>
    <row r="731" spans="3:3" ht="14.25" customHeight="1">
      <c r="C731" s="55"/>
    </row>
    <row r="732" spans="3:3" ht="14.25" customHeight="1">
      <c r="C732" s="55"/>
    </row>
    <row r="733" spans="3:3" ht="14.25" customHeight="1">
      <c r="C733" s="55"/>
    </row>
    <row r="734" spans="3:3" ht="14.25" customHeight="1">
      <c r="C734" s="55"/>
    </row>
    <row r="735" spans="3:3" ht="14.25" customHeight="1">
      <c r="C735" s="55"/>
    </row>
    <row r="736" spans="3:3" ht="14.25" customHeight="1">
      <c r="C736" s="55"/>
    </row>
    <row r="737" spans="3:3" ht="14.25" customHeight="1">
      <c r="C737" s="55"/>
    </row>
    <row r="738" spans="3:3" ht="14.25" customHeight="1">
      <c r="C738" s="55"/>
    </row>
    <row r="739" spans="3:3" ht="14.25" customHeight="1">
      <c r="C739" s="55"/>
    </row>
    <row r="740" spans="3:3" ht="14.25" customHeight="1">
      <c r="C740" s="55"/>
    </row>
    <row r="741" spans="3:3" ht="14.25" customHeight="1">
      <c r="C741" s="55"/>
    </row>
    <row r="742" spans="3:3" ht="14.25" customHeight="1">
      <c r="C742" s="55"/>
    </row>
    <row r="743" spans="3:3" ht="14.25" customHeight="1">
      <c r="C743" s="55"/>
    </row>
    <row r="744" spans="3:3" ht="14.25" customHeight="1">
      <c r="C744" s="55"/>
    </row>
    <row r="745" spans="3:3" ht="14.25" customHeight="1">
      <c r="C745" s="55"/>
    </row>
    <row r="746" spans="3:3" ht="14.25" customHeight="1">
      <c r="C746" s="55"/>
    </row>
    <row r="747" spans="3:3" ht="14.25" customHeight="1">
      <c r="C747" s="55"/>
    </row>
    <row r="748" spans="3:3" ht="14.25" customHeight="1">
      <c r="C748" s="55"/>
    </row>
    <row r="749" spans="3:3" ht="14.25" customHeight="1">
      <c r="C749" s="55"/>
    </row>
    <row r="750" spans="3:3" ht="14.25" customHeight="1">
      <c r="C750" s="55"/>
    </row>
    <row r="751" spans="3:3" ht="14.25" customHeight="1">
      <c r="C751" s="55"/>
    </row>
    <row r="752" spans="3:3" ht="14.25" customHeight="1">
      <c r="C752" s="55"/>
    </row>
    <row r="753" spans="3:3" ht="14.25" customHeight="1">
      <c r="C753" s="55"/>
    </row>
    <row r="754" spans="3:3" ht="14.25" customHeight="1">
      <c r="C754" s="55"/>
    </row>
    <row r="755" spans="3:3" ht="14.25" customHeight="1">
      <c r="C755" s="55"/>
    </row>
    <row r="756" spans="3:3" ht="14.25" customHeight="1">
      <c r="C756" s="55"/>
    </row>
    <row r="757" spans="3:3" ht="14.25" customHeight="1">
      <c r="C757" s="55"/>
    </row>
    <row r="758" spans="3:3" ht="14.25" customHeight="1">
      <c r="C758" s="55"/>
    </row>
    <row r="759" spans="3:3" ht="14.25" customHeight="1">
      <c r="C759" s="55"/>
    </row>
    <row r="760" spans="3:3" ht="14.25" customHeight="1">
      <c r="C760" s="55"/>
    </row>
    <row r="761" spans="3:3" ht="14.25" customHeight="1">
      <c r="C761" s="55"/>
    </row>
    <row r="762" spans="3:3" ht="14.25" customHeight="1">
      <c r="C762" s="55"/>
    </row>
    <row r="763" spans="3:3" ht="14.25" customHeight="1">
      <c r="C763" s="55"/>
    </row>
    <row r="764" spans="3:3" ht="14.25" customHeight="1">
      <c r="C764" s="55"/>
    </row>
    <row r="765" spans="3:3" ht="14.25" customHeight="1">
      <c r="C765" s="55"/>
    </row>
    <row r="766" spans="3:3" ht="14.25" customHeight="1">
      <c r="C766" s="55"/>
    </row>
    <row r="767" spans="3:3" ht="14.25" customHeight="1">
      <c r="C767" s="55"/>
    </row>
    <row r="768" spans="3:3" ht="14.25" customHeight="1">
      <c r="C768" s="55"/>
    </row>
    <row r="769" spans="3:3" ht="14.25" customHeight="1">
      <c r="C769" s="55"/>
    </row>
    <row r="770" spans="3:3" ht="14.25" customHeight="1">
      <c r="C770" s="55"/>
    </row>
    <row r="771" spans="3:3" ht="14.25" customHeight="1">
      <c r="C771" s="55"/>
    </row>
    <row r="772" spans="3:3" ht="14.25" customHeight="1">
      <c r="C772" s="55"/>
    </row>
    <row r="773" spans="3:3" ht="14.25" customHeight="1">
      <c r="C773" s="55"/>
    </row>
    <row r="774" spans="3:3" ht="14.25" customHeight="1">
      <c r="C774" s="55"/>
    </row>
    <row r="775" spans="3:3" ht="14.25" customHeight="1">
      <c r="C775" s="55"/>
    </row>
    <row r="776" spans="3:3" ht="14.25" customHeight="1">
      <c r="C776" s="55"/>
    </row>
    <row r="777" spans="3:3" ht="14.25" customHeight="1">
      <c r="C777" s="55"/>
    </row>
    <row r="778" spans="3:3" ht="14.25" customHeight="1">
      <c r="C778" s="55"/>
    </row>
    <row r="779" spans="3:3" ht="14.25" customHeight="1">
      <c r="C779" s="55"/>
    </row>
    <row r="780" spans="3:3" ht="14.25" customHeight="1">
      <c r="C780" s="55"/>
    </row>
    <row r="781" spans="3:3" ht="14.25" customHeight="1">
      <c r="C781" s="55"/>
    </row>
    <row r="782" spans="3:3" ht="14.25" customHeight="1">
      <c r="C782" s="55"/>
    </row>
    <row r="783" spans="3:3" ht="14.25" customHeight="1">
      <c r="C783" s="55"/>
    </row>
    <row r="784" spans="3:3" ht="14.25" customHeight="1">
      <c r="C784" s="55"/>
    </row>
    <row r="785" spans="3:3" ht="14.25" customHeight="1">
      <c r="C785" s="55"/>
    </row>
    <row r="786" spans="3:3" ht="14.25" customHeight="1">
      <c r="C786" s="55"/>
    </row>
    <row r="787" spans="3:3" ht="14.25" customHeight="1">
      <c r="C787" s="55"/>
    </row>
    <row r="788" spans="3:3" ht="14.25" customHeight="1">
      <c r="C788" s="55"/>
    </row>
    <row r="789" spans="3:3" ht="14.25" customHeight="1">
      <c r="C789" s="55"/>
    </row>
    <row r="790" spans="3:3" ht="14.25" customHeight="1">
      <c r="C790" s="55"/>
    </row>
    <row r="791" spans="3:3" ht="14.25" customHeight="1">
      <c r="C791" s="55"/>
    </row>
    <row r="792" spans="3:3" ht="14.25" customHeight="1">
      <c r="C792" s="55"/>
    </row>
    <row r="793" spans="3:3" ht="14.25" customHeight="1">
      <c r="C793" s="55"/>
    </row>
    <row r="794" spans="3:3" ht="14.25" customHeight="1">
      <c r="C794" s="55"/>
    </row>
    <row r="795" spans="3:3" ht="14.25" customHeight="1">
      <c r="C795" s="55"/>
    </row>
    <row r="796" spans="3:3" ht="14.25" customHeight="1">
      <c r="C796" s="55"/>
    </row>
    <row r="797" spans="3:3" ht="14.25" customHeight="1">
      <c r="C797" s="55"/>
    </row>
    <row r="798" spans="3:3" ht="14.25" customHeight="1">
      <c r="C798" s="55"/>
    </row>
    <row r="799" spans="3:3" ht="14.25" customHeight="1">
      <c r="C799" s="55"/>
    </row>
    <row r="800" spans="3:3" ht="14.25" customHeight="1">
      <c r="C800" s="55"/>
    </row>
    <row r="801" spans="3:3" ht="14.25" customHeight="1">
      <c r="C801" s="55"/>
    </row>
    <row r="802" spans="3:3" ht="14.25" customHeight="1">
      <c r="C802" s="55"/>
    </row>
    <row r="803" spans="3:3" ht="14.25" customHeight="1">
      <c r="C803" s="55"/>
    </row>
    <row r="804" spans="3:3" ht="14.25" customHeight="1">
      <c r="C804" s="55"/>
    </row>
    <row r="805" spans="3:3" ht="14.25" customHeight="1">
      <c r="C805" s="55"/>
    </row>
    <row r="806" spans="3:3" ht="14.25" customHeight="1">
      <c r="C806" s="55"/>
    </row>
    <row r="807" spans="3:3" ht="14.25" customHeight="1">
      <c r="C807" s="55"/>
    </row>
    <row r="808" spans="3:3" ht="14.25" customHeight="1">
      <c r="C808" s="55"/>
    </row>
    <row r="809" spans="3:3" ht="14.25" customHeight="1">
      <c r="C809" s="55"/>
    </row>
    <row r="810" spans="3:3" ht="14.25" customHeight="1">
      <c r="C810" s="55"/>
    </row>
    <row r="811" spans="3:3" ht="14.25" customHeight="1">
      <c r="C811" s="55"/>
    </row>
    <row r="812" spans="3:3" ht="14.25" customHeight="1">
      <c r="C812" s="55"/>
    </row>
    <row r="813" spans="3:3" ht="14.25" customHeight="1">
      <c r="C813" s="55"/>
    </row>
    <row r="814" spans="3:3" ht="14.25" customHeight="1">
      <c r="C814" s="55"/>
    </row>
    <row r="815" spans="3:3" ht="14.25" customHeight="1">
      <c r="C815" s="55"/>
    </row>
    <row r="816" spans="3:3" ht="14.25" customHeight="1">
      <c r="C816" s="55"/>
    </row>
    <row r="817" spans="3:3" ht="14.25" customHeight="1">
      <c r="C817" s="55"/>
    </row>
    <row r="818" spans="3:3" ht="14.25" customHeight="1">
      <c r="C818" s="55"/>
    </row>
    <row r="819" spans="3:3" ht="14.25" customHeight="1">
      <c r="C819" s="55"/>
    </row>
    <row r="820" spans="3:3" ht="14.25" customHeight="1">
      <c r="C820" s="55"/>
    </row>
    <row r="821" spans="3:3" ht="14.25" customHeight="1">
      <c r="C821" s="55"/>
    </row>
    <row r="822" spans="3:3" ht="14.25" customHeight="1">
      <c r="C822" s="55"/>
    </row>
    <row r="823" spans="3:3" ht="14.25" customHeight="1">
      <c r="C823" s="55"/>
    </row>
    <row r="824" spans="3:3" ht="14.25" customHeight="1">
      <c r="C824" s="55"/>
    </row>
    <row r="825" spans="3:3" ht="14.25" customHeight="1">
      <c r="C825" s="55"/>
    </row>
    <row r="826" spans="3:3" ht="14.25" customHeight="1">
      <c r="C826" s="55"/>
    </row>
    <row r="827" spans="3:3" ht="14.25" customHeight="1">
      <c r="C827" s="55"/>
    </row>
    <row r="828" spans="3:3" ht="14.25" customHeight="1">
      <c r="C828" s="55"/>
    </row>
    <row r="829" spans="3:3" ht="14.25" customHeight="1">
      <c r="C829" s="55"/>
    </row>
    <row r="830" spans="3:3" ht="14.25" customHeight="1">
      <c r="C830" s="55"/>
    </row>
    <row r="831" spans="3:3" ht="14.25" customHeight="1">
      <c r="C831" s="55"/>
    </row>
    <row r="832" spans="3:3" ht="14.25" customHeight="1">
      <c r="C832" s="55"/>
    </row>
    <row r="833" spans="3:3" ht="14.25" customHeight="1">
      <c r="C833" s="55"/>
    </row>
    <row r="834" spans="3:3" ht="14.25" customHeight="1">
      <c r="C834" s="55"/>
    </row>
    <row r="835" spans="3:3" ht="14.25" customHeight="1">
      <c r="C835" s="55"/>
    </row>
    <row r="836" spans="3:3" ht="14.25" customHeight="1">
      <c r="C836" s="55"/>
    </row>
    <row r="837" spans="3:3" ht="14.25" customHeight="1">
      <c r="C837" s="55"/>
    </row>
    <row r="838" spans="3:3" ht="14.25" customHeight="1">
      <c r="C838" s="55"/>
    </row>
    <row r="839" spans="3:3" ht="14.25" customHeight="1">
      <c r="C839" s="55"/>
    </row>
    <row r="840" spans="3:3" ht="14.25" customHeight="1">
      <c r="C840" s="55"/>
    </row>
    <row r="841" spans="3:3" ht="14.25" customHeight="1">
      <c r="C841" s="55"/>
    </row>
    <row r="842" spans="3:3" ht="14.25" customHeight="1">
      <c r="C842" s="55"/>
    </row>
    <row r="843" spans="3:3" ht="14.25" customHeight="1">
      <c r="C843" s="55"/>
    </row>
    <row r="844" spans="3:3" ht="14.25" customHeight="1">
      <c r="C844" s="55"/>
    </row>
    <row r="845" spans="3:3" ht="14.25" customHeight="1">
      <c r="C845" s="55"/>
    </row>
    <row r="846" spans="3:3" ht="14.25" customHeight="1">
      <c r="C846" s="55"/>
    </row>
    <row r="847" spans="3:3" ht="14.25" customHeight="1">
      <c r="C847" s="55"/>
    </row>
    <row r="848" spans="3:3" ht="14.25" customHeight="1">
      <c r="C848" s="55"/>
    </row>
    <row r="849" spans="3:3" ht="14.25" customHeight="1">
      <c r="C849" s="55"/>
    </row>
    <row r="850" spans="3:3" ht="14.25" customHeight="1">
      <c r="C850" s="55"/>
    </row>
    <row r="851" spans="3:3" ht="14.25" customHeight="1">
      <c r="C851" s="55"/>
    </row>
    <row r="852" spans="3:3" ht="14.25" customHeight="1">
      <c r="C852" s="55"/>
    </row>
    <row r="853" spans="3:3" ht="14.25" customHeight="1">
      <c r="C853" s="55"/>
    </row>
    <row r="854" spans="3:3" ht="14.25" customHeight="1">
      <c r="C854" s="55"/>
    </row>
    <row r="855" spans="3:3" ht="14.25" customHeight="1">
      <c r="C855" s="55"/>
    </row>
    <row r="856" spans="3:3" ht="14.25" customHeight="1">
      <c r="C856" s="55"/>
    </row>
    <row r="857" spans="3:3" ht="14.25" customHeight="1">
      <c r="C857" s="55"/>
    </row>
    <row r="858" spans="3:3" ht="14.25" customHeight="1">
      <c r="C858" s="55"/>
    </row>
    <row r="859" spans="3:3" ht="14.25" customHeight="1">
      <c r="C859" s="55"/>
    </row>
    <row r="860" spans="3:3" ht="14.25" customHeight="1">
      <c r="C860" s="55"/>
    </row>
    <row r="861" spans="3:3" ht="14.25" customHeight="1">
      <c r="C861" s="55"/>
    </row>
    <row r="862" spans="3:3" ht="14.25" customHeight="1">
      <c r="C862" s="55"/>
    </row>
    <row r="863" spans="3:3" ht="14.25" customHeight="1">
      <c r="C863" s="55"/>
    </row>
    <row r="864" spans="3:3" ht="14.25" customHeight="1">
      <c r="C864" s="55"/>
    </row>
    <row r="865" spans="3:3" ht="14.25" customHeight="1">
      <c r="C865" s="55"/>
    </row>
    <row r="866" spans="3:3" ht="14.25" customHeight="1">
      <c r="C866" s="55"/>
    </row>
    <row r="867" spans="3:3" ht="14.25" customHeight="1">
      <c r="C867" s="55"/>
    </row>
    <row r="868" spans="3:3" ht="14.25" customHeight="1">
      <c r="C868" s="55"/>
    </row>
    <row r="869" spans="3:3" ht="14.25" customHeight="1">
      <c r="C869" s="55"/>
    </row>
    <row r="870" spans="3:3" ht="14.25" customHeight="1">
      <c r="C870" s="55"/>
    </row>
    <row r="871" spans="3:3" ht="14.25" customHeight="1">
      <c r="C871" s="55"/>
    </row>
    <row r="872" spans="3:3" ht="14.25" customHeight="1">
      <c r="C872" s="55"/>
    </row>
    <row r="873" spans="3:3" ht="14.25" customHeight="1">
      <c r="C873" s="55"/>
    </row>
    <row r="874" spans="3:3" ht="14.25" customHeight="1">
      <c r="C874" s="55"/>
    </row>
    <row r="875" spans="3:3" ht="14.25" customHeight="1">
      <c r="C875" s="55"/>
    </row>
    <row r="876" spans="3:3" ht="14.25" customHeight="1">
      <c r="C876" s="55"/>
    </row>
    <row r="877" spans="3:3" ht="14.25" customHeight="1">
      <c r="C877" s="55"/>
    </row>
    <row r="878" spans="3:3" ht="14.25" customHeight="1">
      <c r="C878" s="55"/>
    </row>
    <row r="879" spans="3:3" ht="14.25" customHeight="1">
      <c r="C879" s="55"/>
    </row>
    <row r="880" spans="3:3" ht="14.25" customHeight="1">
      <c r="C880" s="55"/>
    </row>
    <row r="881" spans="3:3" ht="14.25" customHeight="1">
      <c r="C881" s="55"/>
    </row>
    <row r="882" spans="3:3" ht="14.25" customHeight="1">
      <c r="C882" s="55"/>
    </row>
    <row r="883" spans="3:3" ht="14.25" customHeight="1">
      <c r="C883" s="55"/>
    </row>
    <row r="884" spans="3:3" ht="14.25" customHeight="1">
      <c r="C884" s="55"/>
    </row>
    <row r="885" spans="3:3" ht="14.25" customHeight="1">
      <c r="C885" s="55"/>
    </row>
    <row r="886" spans="3:3" ht="14.25" customHeight="1">
      <c r="C886" s="55"/>
    </row>
    <row r="887" spans="3:3" ht="14.25" customHeight="1">
      <c r="C887" s="55"/>
    </row>
    <row r="888" spans="3:3" ht="14.25" customHeight="1">
      <c r="C888" s="55"/>
    </row>
    <row r="889" spans="3:3" ht="14.25" customHeight="1">
      <c r="C889" s="55"/>
    </row>
    <row r="890" spans="3:3" ht="14.25" customHeight="1">
      <c r="C890" s="55"/>
    </row>
    <row r="891" spans="3:3" ht="14.25" customHeight="1">
      <c r="C891" s="55"/>
    </row>
    <row r="892" spans="3:3" ht="14.25" customHeight="1">
      <c r="C892" s="55"/>
    </row>
    <row r="893" spans="3:3" ht="14.25" customHeight="1">
      <c r="C893" s="55"/>
    </row>
    <row r="894" spans="3:3" ht="14.25" customHeight="1">
      <c r="C894" s="55"/>
    </row>
    <row r="895" spans="3:3" ht="14.25" customHeight="1">
      <c r="C895" s="55"/>
    </row>
    <row r="896" spans="3:3" ht="14.25" customHeight="1">
      <c r="C896" s="55"/>
    </row>
    <row r="897" spans="3:3" ht="14.25" customHeight="1">
      <c r="C897" s="55"/>
    </row>
    <row r="898" spans="3:3" ht="14.25" customHeight="1">
      <c r="C898" s="55"/>
    </row>
    <row r="899" spans="3:3" ht="14.25" customHeight="1">
      <c r="C899" s="55"/>
    </row>
    <row r="900" spans="3:3" ht="14.25" customHeight="1">
      <c r="C900" s="55"/>
    </row>
    <row r="901" spans="3:3" ht="14.25" customHeight="1">
      <c r="C901" s="55"/>
    </row>
    <row r="902" spans="3:3" ht="14.25" customHeight="1">
      <c r="C902" s="55"/>
    </row>
    <row r="903" spans="3:3" ht="14.25" customHeight="1">
      <c r="C903" s="55"/>
    </row>
    <row r="904" spans="3:3" ht="14.25" customHeight="1">
      <c r="C904" s="55"/>
    </row>
    <row r="905" spans="3:3" ht="14.25" customHeight="1">
      <c r="C905" s="55"/>
    </row>
    <row r="906" spans="3:3" ht="14.25" customHeight="1">
      <c r="C906" s="55"/>
    </row>
    <row r="907" spans="3:3" ht="14.25" customHeight="1">
      <c r="C907" s="55"/>
    </row>
    <row r="908" spans="3:3" ht="14.25" customHeight="1">
      <c r="C908" s="55"/>
    </row>
    <row r="909" spans="3:3" ht="14.25" customHeight="1">
      <c r="C909" s="55"/>
    </row>
    <row r="910" spans="3:3" ht="14.25" customHeight="1">
      <c r="C910" s="55"/>
    </row>
    <row r="911" spans="3:3" ht="14.25" customHeight="1">
      <c r="C911" s="55"/>
    </row>
    <row r="912" spans="3:3" ht="14.25" customHeight="1">
      <c r="C912" s="55"/>
    </row>
    <row r="913" spans="3:3" ht="14.25" customHeight="1">
      <c r="C913" s="55"/>
    </row>
    <row r="914" spans="3:3" ht="14.25" customHeight="1">
      <c r="C914" s="55"/>
    </row>
    <row r="915" spans="3:3" ht="14.25" customHeight="1">
      <c r="C915" s="55"/>
    </row>
    <row r="916" spans="3:3" ht="14.25" customHeight="1">
      <c r="C916" s="55"/>
    </row>
    <row r="917" spans="3:3" ht="14.25" customHeight="1">
      <c r="C917" s="55"/>
    </row>
    <row r="918" spans="3:3" ht="14.25" customHeight="1">
      <c r="C918" s="55"/>
    </row>
    <row r="919" spans="3:3" ht="14.25" customHeight="1">
      <c r="C919" s="55"/>
    </row>
    <row r="920" spans="3:3" ht="14.25" customHeight="1">
      <c r="C920" s="55"/>
    </row>
    <row r="921" spans="3:3" ht="14.25" customHeight="1">
      <c r="C921" s="55"/>
    </row>
    <row r="922" spans="3:3" ht="14.25" customHeight="1">
      <c r="C922" s="55"/>
    </row>
    <row r="923" spans="3:3" ht="14.25" customHeight="1">
      <c r="C923" s="55"/>
    </row>
    <row r="924" spans="3:3" ht="14.25" customHeight="1">
      <c r="C924" s="55"/>
    </row>
    <row r="925" spans="3:3" ht="14.25" customHeight="1">
      <c r="C925" s="55"/>
    </row>
    <row r="926" spans="3:3" ht="14.25" customHeight="1">
      <c r="C926" s="55"/>
    </row>
    <row r="927" spans="3:3" ht="14.25" customHeight="1">
      <c r="C927" s="55"/>
    </row>
    <row r="928" spans="3:3" ht="14.25" customHeight="1">
      <c r="C928" s="55"/>
    </row>
    <row r="929" spans="3:3" ht="14.25" customHeight="1">
      <c r="C929" s="55"/>
    </row>
    <row r="930" spans="3:3" ht="14.25" customHeight="1">
      <c r="C930" s="55"/>
    </row>
    <row r="931" spans="3:3" ht="14.25" customHeight="1">
      <c r="C931" s="55"/>
    </row>
    <row r="932" spans="3:3" ht="14.25" customHeight="1">
      <c r="C932" s="55"/>
    </row>
    <row r="933" spans="3:3" ht="14.25" customHeight="1">
      <c r="C933" s="55"/>
    </row>
    <row r="934" spans="3:3" ht="14.25" customHeight="1">
      <c r="C934" s="55"/>
    </row>
    <row r="935" spans="3:3" ht="14.25" customHeight="1">
      <c r="C935" s="55"/>
    </row>
    <row r="936" spans="3:3" ht="14.25" customHeight="1">
      <c r="C936" s="55"/>
    </row>
    <row r="937" spans="3:3" ht="14.25" customHeight="1">
      <c r="C937" s="55"/>
    </row>
    <row r="938" spans="3:3" ht="14.25" customHeight="1">
      <c r="C938" s="55"/>
    </row>
    <row r="939" spans="3:3" ht="14.25" customHeight="1">
      <c r="C939" s="55"/>
    </row>
    <row r="940" spans="3:3" ht="14.25" customHeight="1">
      <c r="C940" s="55"/>
    </row>
    <row r="941" spans="3:3" ht="14.25" customHeight="1">
      <c r="C941" s="55"/>
    </row>
    <row r="942" spans="3:3" ht="14.25" customHeight="1">
      <c r="C942" s="55"/>
    </row>
    <row r="943" spans="3:3" ht="14.25" customHeight="1">
      <c r="C943" s="55"/>
    </row>
    <row r="944" spans="3:3" ht="14.25" customHeight="1">
      <c r="C944" s="55"/>
    </row>
    <row r="945" spans="3:3" ht="14.25" customHeight="1">
      <c r="C945" s="55"/>
    </row>
    <row r="946" spans="3:3" ht="14.25" customHeight="1">
      <c r="C946" s="55"/>
    </row>
    <row r="947" spans="3:3" ht="14.25" customHeight="1">
      <c r="C947" s="55"/>
    </row>
    <row r="948" spans="3:3" ht="14.25" customHeight="1">
      <c r="C948" s="55"/>
    </row>
    <row r="949" spans="3:3" ht="14.25" customHeight="1">
      <c r="C949" s="55"/>
    </row>
    <row r="950" spans="3:3" ht="14.25" customHeight="1">
      <c r="C950" s="55"/>
    </row>
    <row r="951" spans="3:3" ht="14.25" customHeight="1">
      <c r="C951" s="55"/>
    </row>
    <row r="952" spans="3:3" ht="14.25" customHeight="1">
      <c r="C952" s="55"/>
    </row>
    <row r="953" spans="3:3" ht="14.25" customHeight="1">
      <c r="C953" s="55"/>
    </row>
    <row r="954" spans="3:3" ht="14.25" customHeight="1">
      <c r="C954" s="55"/>
    </row>
    <row r="955" spans="3:3" ht="14.25" customHeight="1">
      <c r="C955" s="55"/>
    </row>
    <row r="956" spans="3:3" ht="14.25" customHeight="1">
      <c r="C956" s="55"/>
    </row>
    <row r="957" spans="3:3" ht="14.25" customHeight="1">
      <c r="C957" s="55"/>
    </row>
    <row r="958" spans="3:3" ht="14.25" customHeight="1">
      <c r="C958" s="55"/>
    </row>
    <row r="959" spans="3:3" ht="14.25" customHeight="1">
      <c r="C959" s="55"/>
    </row>
    <row r="960" spans="3:3" ht="14.25" customHeight="1">
      <c r="C960" s="55"/>
    </row>
    <row r="961" spans="3:3" ht="14.25" customHeight="1">
      <c r="C961" s="55"/>
    </row>
    <row r="962" spans="3:3" ht="14.25" customHeight="1">
      <c r="C962" s="55"/>
    </row>
    <row r="963" spans="3:3" ht="14.25" customHeight="1">
      <c r="C963" s="55"/>
    </row>
    <row r="964" spans="3:3" ht="14.25" customHeight="1">
      <c r="C964" s="55"/>
    </row>
    <row r="965" spans="3:3" ht="14.25" customHeight="1">
      <c r="C965" s="55"/>
    </row>
    <row r="966" spans="3:3" ht="14.25" customHeight="1">
      <c r="C966" s="55"/>
    </row>
    <row r="967" spans="3:3" ht="14.25" customHeight="1">
      <c r="C967" s="55"/>
    </row>
    <row r="968" spans="3:3" ht="14.25" customHeight="1">
      <c r="C968" s="55"/>
    </row>
    <row r="969" spans="3:3" ht="14.25" customHeight="1">
      <c r="C969" s="55"/>
    </row>
    <row r="970" spans="3:3" ht="14.25" customHeight="1">
      <c r="C970" s="55"/>
    </row>
    <row r="971" spans="3:3" ht="14.25" customHeight="1">
      <c r="C971" s="55"/>
    </row>
    <row r="972" spans="3:3" ht="14.25" customHeight="1">
      <c r="C972" s="55"/>
    </row>
    <row r="973" spans="3:3" ht="14.25" customHeight="1">
      <c r="C973" s="55"/>
    </row>
    <row r="974" spans="3:3" ht="14.25" customHeight="1">
      <c r="C974" s="55"/>
    </row>
    <row r="975" spans="3:3" ht="14.25" customHeight="1">
      <c r="C975" s="55"/>
    </row>
    <row r="976" spans="3:3" ht="14.25" customHeight="1">
      <c r="C976" s="55"/>
    </row>
    <row r="977" spans="3:3" ht="14.25" customHeight="1">
      <c r="C977" s="55"/>
    </row>
    <row r="978" spans="3:3" ht="14.25" customHeight="1">
      <c r="C978" s="55"/>
    </row>
    <row r="979" spans="3:3" ht="14.25" customHeight="1">
      <c r="C979" s="55"/>
    </row>
    <row r="980" spans="3:3" ht="14.25" customHeight="1">
      <c r="C980" s="55"/>
    </row>
    <row r="981" spans="3:3" ht="14.25" customHeight="1">
      <c r="C981" s="55"/>
    </row>
    <row r="982" spans="3:3" ht="14.25" customHeight="1">
      <c r="C982" s="55"/>
    </row>
    <row r="983" spans="3:3" ht="14.25" customHeight="1">
      <c r="C983" s="55"/>
    </row>
    <row r="984" spans="3:3" ht="14.25" customHeight="1">
      <c r="C984" s="55"/>
    </row>
    <row r="985" spans="3:3" ht="14.25" customHeight="1">
      <c r="C985" s="55"/>
    </row>
    <row r="986" spans="3:3" ht="14.25" customHeight="1">
      <c r="C986" s="55"/>
    </row>
    <row r="987" spans="3:3" ht="14.25" customHeight="1">
      <c r="C987" s="55"/>
    </row>
    <row r="988" spans="3:3" ht="14.25" customHeight="1">
      <c r="C988" s="55"/>
    </row>
    <row r="989" spans="3:3" ht="14.25" customHeight="1">
      <c r="C989" s="55"/>
    </row>
    <row r="990" spans="3:3" ht="14.25" customHeight="1">
      <c r="C990" s="55"/>
    </row>
    <row r="991" spans="3:3" ht="14.25" customHeight="1">
      <c r="C991" s="55"/>
    </row>
    <row r="992" spans="3:3" ht="14.25" customHeight="1">
      <c r="C992" s="55"/>
    </row>
    <row r="993" spans="3:3" ht="14.25" customHeight="1">
      <c r="C993" s="55"/>
    </row>
    <row r="994" spans="3:3" ht="14.25" customHeight="1">
      <c r="C994" s="55"/>
    </row>
    <row r="995" spans="3:3" ht="14.25" customHeight="1">
      <c r="C995" s="55"/>
    </row>
    <row r="996" spans="3:3" ht="14.25" customHeight="1">
      <c r="C996" s="55"/>
    </row>
    <row r="997" spans="3:3" ht="14.25" customHeight="1">
      <c r="C997" s="55"/>
    </row>
    <row r="998" spans="3:3" ht="14.25" customHeight="1">
      <c r="C998" s="55"/>
    </row>
    <row r="999" spans="3:3" ht="14.25" customHeight="1">
      <c r="C999" s="55"/>
    </row>
    <row r="1000" spans="3:3" ht="14.25" customHeight="1">
      <c r="C1000" s="5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NEST360_BF Facilities</vt:lpstr>
      <vt:lpstr>KUHeS Trainee Intake Schedule</vt:lpstr>
      <vt:lpstr>Prof Ass Intake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Biniam Teshome</cp:lastModifiedBy>
  <dcterms:created xsi:type="dcterms:W3CDTF">2026-08-20T09:12:18Z</dcterms:created>
  <dcterms:modified xsi:type="dcterms:W3CDTF">2026-08-20T09:12:18Z</dcterms:modified>
</cp:coreProperties>
</file>